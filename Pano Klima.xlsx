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atih.gural\Desktop\PROJECTS\RESEARCH\"/>
    </mc:Choice>
  </mc:AlternateContent>
  <xr:revisionPtr revIDLastSave="0" documentId="13_ncr:1_{1133E31B-5666-4837-BDD7-642A3BB480B9}" xr6:coauthVersionLast="47" xr6:coauthVersionMax="47" xr10:uidLastSave="{00000000-0000-0000-0000-000000000000}"/>
  <bookViews>
    <workbookView xWindow="-120" yWindow="-120" windowWidth="29040" windowHeight="15720" firstSheet="1" activeTab="7" xr2:uid="{00000000-000D-0000-FFFF-FFFF00000000}"/>
  </bookViews>
  <sheets>
    <sheet name="Kapak" sheetId="1" r:id="rId1"/>
    <sheet name="Karar Özeti" sheetId="2" r:id="rId2"/>
    <sheet name="Kapasite Hesabı" sheetId="3" r:id="rId3"/>
    <sheet name="Standartlar" sheetId="4" r:id="rId4"/>
    <sheet name="Ürün Seçimi" sheetId="5" r:id="rId5"/>
    <sheet name="Kontrol Listesi" sheetId="6" r:id="rId6"/>
    <sheet name="Kaynaklar" sheetId="7" r:id="rId7"/>
    <sheet name="devam"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3" l="1"/>
  <c r="F17" i="3"/>
  <c r="F16" i="3"/>
  <c r="F15" i="3"/>
  <c r="F14" i="3"/>
  <c r="F13" i="3"/>
  <c r="F12" i="3"/>
  <c r="F11" i="3"/>
  <c r="F10" i="3"/>
  <c r="F9" i="3"/>
  <c r="F8" i="3"/>
</calcChain>
</file>

<file path=xl/sharedStrings.xml><?xml version="1.0" encoding="utf-8"?>
<sst xmlns="http://schemas.openxmlformats.org/spreadsheetml/2006/main" count="439" uniqueCount="340">
  <si>
    <t>ENDÜSTRİYEL YIKAMA MAKİNESİ — ELEKTRİK PANOSU İKLİMLENDİRME RAPORU</t>
  </si>
  <si>
    <t>Fan, klima, havalandırma, yoğuşma, IP koruması, IEC standartları ve marka/ürün seçim rehberi | Araştırma tarihi: 21.08.2026</t>
  </si>
  <si>
    <t>YÖNETİCİ SONUCU</t>
  </si>
  <si>
    <t>IEC standartları her elektrik panosuna mutlaka fan veya klima takılmasını söylemez. Zorunluluk; bileşen sıcaklık sınırlarının, pano sıcaklık artışının, IP korumasının, yoğuşmanın ve ortam şartlarının güvenli biçimde sağlanmasıdır. Endüstriyel yıkama alanında doğrudan su/kimyasal sıçrama varsa açık çevrim filtre fanı genellikle uygun değildir; kapalı çevrim pano kliması veya hava-su eşanjörü tercih edilir. Nihai seçim, gerçek ısı kaybı ve en kötü ortam koşulu ile doğrulanmalıdır.</t>
  </si>
  <si>
    <t>İÇİNDEKİLER</t>
  </si>
  <si>
    <t>Sayfa</t>
  </si>
  <si>
    <t>İçerik</t>
  </si>
  <si>
    <t>Karar Özeti</t>
  </si>
  <si>
    <t>Fan/klima gerekliliği, koşullar ve karar matrisi</t>
  </si>
  <si>
    <t>Kapasite Hesabı</t>
  </si>
  <si>
    <t>Canlı soğutma gücü, fan debisi ve çiğ noktası hesabı</t>
  </si>
  <si>
    <t>Standartlar</t>
  </si>
  <si>
    <t>IEC standartlarının kapsamı ve bu konuya etkisi</t>
  </si>
  <si>
    <t>Ürün Seçimi</t>
  </si>
  <si>
    <t>Ortam tipine göre marka ve ürün ailesi karşılaştırması</t>
  </si>
  <si>
    <t>Kontrol Listesi</t>
  </si>
  <si>
    <t>Tasarım, satın alma, montaj ve devreye alma kontrolü</t>
  </si>
  <si>
    <t>Kaynaklar</t>
  </si>
  <si>
    <t>Resmî IEC ve üretici kaynak bağlantıları</t>
  </si>
  <si>
    <t>Koşul</t>
  </si>
  <si>
    <t>Termostatlı filtre fan + çıkış filtresi</t>
  </si>
  <si>
    <t>IEC 60079 ve yetkin Ex uzmanı</t>
  </si>
  <si>
    <t>No</t>
  </si>
  <si>
    <t>Kontrol</t>
  </si>
  <si>
    <t>KAPASİTE HESABI — ÖN BOYUTLANDIRMA</t>
  </si>
  <si>
    <t>Sarı hücreleri değiştirin. Sonuçlar canlı hesaplanır; nihai seçim üretici yazılımı, gerçek kayıplar ve IEC 61439 doğrulaması ile teyit edilmelidir.</t>
  </si>
  <si>
    <t>GİRDİLER</t>
  </si>
  <si>
    <t>HESAPLANAN SONUÇLAR</t>
  </si>
  <si>
    <t>Parametre</t>
  </si>
  <si>
    <t>Değer</t>
  </si>
  <si>
    <t>Birim</t>
  </si>
  <si>
    <t>Not</t>
  </si>
  <si>
    <t>Pano genişliği</t>
  </si>
  <si>
    <t>mm</t>
  </si>
  <si>
    <t>Dış ölçü</t>
  </si>
  <si>
    <t>Pano yüksekliği</t>
  </si>
  <si>
    <t>Pano derinliği</t>
  </si>
  <si>
    <t>En yüksek ortam sıcaklığı</t>
  </si>
  <si>
    <t>°C</t>
  </si>
  <si>
    <t>En kötü işletme koşulu</t>
  </si>
  <si>
    <t>Hedef pano iç sıcaklığı</t>
  </si>
  <si>
    <t>Komponent limitlerinden düşük seçin</t>
  </si>
  <si>
    <t>Toplam ekipman ısı kaybı</t>
  </si>
  <si>
    <t>W</t>
  </si>
  <si>
    <t>VFD, servo, trafo, PSU, kontaktör vb.</t>
  </si>
  <si>
    <t>Güneş/harici ek ısı</t>
  </si>
  <si>
    <t>Dış ortamda ayrıca değerlendirin</t>
  </si>
  <si>
    <t>Tasarım emniyet marjı</t>
  </si>
  <si>
    <t>%</t>
  </si>
  <si>
    <t>Ön tasarım varsayımı</t>
  </si>
  <si>
    <t>Fan hesabı için izin verilen ΔT</t>
  </si>
  <si>
    <t>K</t>
  </si>
  <si>
    <t>Tambient ile pano havası farkı</t>
  </si>
  <si>
    <t>Bağıl nem</t>
  </si>
  <si>
    <t>En kötü nem</t>
  </si>
  <si>
    <t>Doğrudan yıkama / su jeti</t>
  </si>
  <si>
    <t>Evet</t>
  </si>
  <si>
    <t>Evet/Hayır</t>
  </si>
  <si>
    <t>Korozif kimyasal / tuz</t>
  </si>
  <si>
    <t>Hayır</t>
  </si>
  <si>
    <t>Patlayıcı ortam sınıfı</t>
  </si>
  <si>
    <t>Ortam temiz ve kuru</t>
  </si>
  <si>
    <t>Sonuç</t>
  </si>
  <si>
    <t>Yorum</t>
  </si>
  <si>
    <t>Toplam dış yüzey alanı</t>
  </si>
  <si>
    <t>m²</t>
  </si>
  <si>
    <t>Ortam çiğ noktası</t>
  </si>
  <si>
    <t>Magnus yaklaşımı</t>
  </si>
  <si>
    <t>Önerilen minimum iç sıcaklık</t>
  </si>
  <si>
    <t>Çiğ noktası + 3 K</t>
  </si>
  <si>
    <t>Teorik fan debisi</t>
  </si>
  <si>
    <t>m³/h</t>
  </si>
  <si>
    <t>HESAP NOTLARI</t>
  </si>
  <si>
    <t>Bu sayfadaki 5,5 W/m²K gövde ısı geçiş katsayısı ve 3,1×W/ΔT fan debisi bağıntısı yalnızca ön boyutlandırma yaklaşımıdır; IEC TR 60890’ın tam hesap yönteminin yerine geçmez. Duvara bitişik yüzeyler, iç bölmeler, güneş, rakım, filtre basınç kaybı ve gerçek cihaz kayıpları ayrıca dikkate alınmalıdır. Klima kapasitesi katalogda yalnız nominal A35/A35 değerinden değil, en kötü sıcaklıktaki kapasiteden seçilmelidir.</t>
  </si>
  <si>
    <t>IEC STANDARTLARI — KAPSAM VE UYGULAMA</t>
  </si>
  <si>
    <t>Standart metinleri teliflidir; açıklamalar resmî IEC kapsam özetlerine ve yayımlanmış sürümlere dayanır. Projede güncel EN/TS EN uyarlaması da kontrol edilmelidir.</t>
  </si>
  <si>
    <t>ANA STANDARTLAR</t>
  </si>
  <si>
    <t>Resmî kaynak</t>
  </si>
  <si>
    <t>https://webstore.iec.ch/en/publication/26037</t>
  </si>
  <si>
    <t>https://webstore.iec.ch/en/publication/32338</t>
  </si>
  <si>
    <t>https://webstore.iec.ch/en/publication/30043</t>
  </si>
  <si>
    <t>https://webstore.iec.ch/en/publication/66007</t>
  </si>
  <si>
    <t>IEC 60529</t>
  </si>
  <si>
    <t>https://webstore.iec.ch/en/publication/2452</t>
  </si>
  <si>
    <t>https://webstore.iec.ch/en/publication/82356</t>
  </si>
  <si>
    <t>https://webstore.iec.ch/en/publication/71519</t>
  </si>
  <si>
    <t>https://webstore.iec.ch/en/publication/66049</t>
  </si>
  <si>
    <t>STANDARTLARIN ORTAK MESAJI</t>
  </si>
  <si>
    <t>MARKA VE ÜRÜN SEÇİMİ</t>
  </si>
  <si>
    <t>Örnek kısa liste; kesin model kapasite, besleme, IP, kimyasal dayanım ve yerel servis teyidi sonrasında seçilmelidir.</t>
  </si>
  <si>
    <t>ÖNERİLEN ÜRÜN AİLELERİ</t>
  </si>
  <si>
    <t>Kaynak</t>
  </si>
  <si>
    <t>Rittal Blue e+ S</t>
  </si>
  <si>
    <t>https://www.rittal.com/com-en/products/Blue-e--S</t>
  </si>
  <si>
    <t>Rittal Blue e+ duvar tipi</t>
  </si>
  <si>
    <t>https://www.rittal.com/com-en/products/PG20231215KLI101/PG20231215KLI103/PRO44840</t>
  </si>
  <si>
    <t>Pfannenberg DTS 3181</t>
  </si>
  <si>
    <t>https://www.pfannenberg.com/en/thermal-management/cooling-units/outdoor-units-series-3xxx/dts-31613181/</t>
  </si>
  <si>
    <t>Pfannenberg DTS 3281</t>
  </si>
  <si>
    <t>https://www.pfannenberg.com/en/thermal-management/cooling-units/outdoor-units-series-3xxx/dts-32613281/</t>
  </si>
  <si>
    <t>Seifert SOLITHERM PROTEC</t>
  </si>
  <si>
    <t>https://www.seifertsystems.com/insights/solitherm-protec</t>
  </si>
  <si>
    <t>nVent HOFFMAN SpectraCool</t>
  </si>
  <si>
    <t>https://www.nvent.com/en-us/hoffman/products/spectracool-interiorexterior</t>
  </si>
  <si>
    <t>ORTAM BAZLI KISA LİSTE</t>
  </si>
  <si>
    <t>Ortam</t>
  </si>
  <si>
    <t>Birinci tercih</t>
  </si>
  <si>
    <t>Minimum kontrol</t>
  </si>
  <si>
    <t>Temiz-kuru, düşük yük</t>
  </si>
  <si>
    <t>Termostatlı filtre fan veya Rittal Blue e+ S</t>
  </si>
  <si>
    <t>Kapalı devre eşanjör</t>
  </si>
  <si>
    <t>Tambient &lt; Tinside; filtre basınç kaybı</t>
  </si>
  <si>
    <t>Doğrudan yıkama, korozif olmayan</t>
  </si>
  <si>
    <t>Pfannenberg DTS 3181/3281</t>
  </si>
  <si>
    <t>IP doğrulanmış paslanmaz Rittal/nVent</t>
  </si>
  <si>
    <t>Montaj sonrası IP56/Type 4X ve drenaj</t>
  </si>
  <si>
    <t>Klorür/kimyasal/tuz</t>
  </si>
  <si>
    <t>Seifert SOLITHERM PROTEC AISI 316</t>
  </si>
  <si>
    <t>Kimyasal paketli eşdeğer</t>
  </si>
  <si>
    <t>Kimyasal uyum beyanı + kaplı dış devre</t>
  </si>
  <si>
    <t>Çok yüksek ısı yükü</t>
  </si>
  <si>
    <t>Rittal Blue e+ 1.6–5.5 kW</t>
  </si>
  <si>
    <t>Seifert/Pfannenberg yüksek kapasite</t>
  </si>
  <si>
    <t>A35/A50 kapasitesi ve besleme</t>
  </si>
  <si>
    <t>Ex bölge</t>
  </si>
  <si>
    <t>Ex sertifikalı özel sistem</t>
  </si>
  <si>
    <t>Panoyu Ex bölge dışına taşıma</t>
  </si>
  <si>
    <t>Zone/EPL, grup, sıcaklık sınıfı</t>
  </si>
  <si>
    <t>TASARIM VE DEVREYE ALMA KONTROL LİSTESİ</t>
  </si>
  <si>
    <t>Her satırı proje dosyasında kanıtla; “uygun” kararı yalnız katalog kapağına göre verilmemelidir.</t>
  </si>
  <si>
    <t>Aşama</t>
  </si>
  <si>
    <t>Kabul kriteri</t>
  </si>
  <si>
    <t>Sorumlu</t>
  </si>
  <si>
    <t>Durum</t>
  </si>
  <si>
    <t>Kanıt / doküman</t>
  </si>
  <si>
    <t>Risk</t>
  </si>
  <si>
    <t>Girdi</t>
  </si>
  <si>
    <t>Tüm cihaz güç kayıpları toplandı mı?</t>
  </si>
  <si>
    <t>Üretici W kayıpları + kablo/bara kayıpları</t>
  </si>
  <si>
    <t>Elektrik tasarım</t>
  </si>
  <si>
    <t>Açık</t>
  </si>
  <si>
    <t>Yüksek</t>
  </si>
  <si>
    <t>En kötü ortam sıcaklığı ve RH belirlendi mi?</t>
  </si>
  <si>
    <t>Yaz/pik üretim/yıkama sonrası değerleri</t>
  </si>
  <si>
    <t>Proses/saha</t>
  </si>
  <si>
    <t>Yıkama basıncı, sıcaklığı, yönü ve kimyasalı tanımlı mı?</t>
  </si>
  <si>
    <t>Gerçek temizlik prosedürüyle uyumlu</t>
  </si>
  <si>
    <t>Proses</t>
  </si>
  <si>
    <t>Termal</t>
  </si>
  <si>
    <t>IEC TR 60890 veya üretici hesabı var mı?</t>
  </si>
  <si>
    <t>Hesap ve varsayımlar kayıtlı</t>
  </si>
  <si>
    <t>A35/A50 kapasitesi yeterli mi?</t>
  </si>
  <si>
    <t>Hesaplanan yük + marjdan büyük</t>
  </si>
  <si>
    <t>Satın alma</t>
  </si>
  <si>
    <t>Yoğuşma</t>
  </si>
  <si>
    <t>Çiğ noktası/duruş senaryosu kontrol edildi mi?</t>
  </si>
  <si>
    <t>Set ≥ çiğ noktası +3 K; gerekirse ısıtıcı</t>
  </si>
  <si>
    <t>IP</t>
  </si>
  <si>
    <t>Tüm montaj birlikte doğrulandı mı?</t>
  </si>
  <si>
    <t>Hedef IP/NEMA korunuyor</t>
  </si>
  <si>
    <t>Kalite</t>
  </si>
  <si>
    <t>Malzeme</t>
  </si>
  <si>
    <t>304/316 ve conta uyumu teyit mi?</t>
  </si>
  <si>
    <t>Yazılı kimyasal uyum beyanı</t>
  </si>
  <si>
    <t>Malzeme/proses</t>
  </si>
  <si>
    <t>Montaj</t>
  </si>
  <si>
    <t>Hava giriş/çıkış kısa devre yapıyor mu?</t>
  </si>
  <si>
    <t>İç sirkülasyon engelsiz</t>
  </si>
  <si>
    <t>Orta</t>
  </si>
  <si>
    <t>Kondenser servis boşluğu var mı?</t>
  </si>
  <si>
    <t>Üretici açıklıkları sağlanmış</t>
  </si>
  <si>
    <t>Elektrik</t>
  </si>
  <si>
    <t>Klima koruma, alarm ve kilitlemeye bağlı mı?</t>
  </si>
  <si>
    <t>Şalter, alarm kontağı, yüksek sıcaklık alarmı</t>
  </si>
  <si>
    <t>Test</t>
  </si>
  <si>
    <t>Tam yük sıcaklık testi yapıldı mı?</t>
  </si>
  <si>
    <t>Kararlı durumda limitler aşılmıyor</t>
  </si>
  <si>
    <t>Yıkama sonrası su/yoğuşma var mı?</t>
  </si>
  <si>
    <t>İç yüzey kuru; conta/drenaj sağlam</t>
  </si>
  <si>
    <t>Bakım</t>
  </si>
  <si>
    <t>Bakım periyodu tanımlı mı?</t>
  </si>
  <si>
    <t>Periyot ve sorumlu atanmış</t>
  </si>
  <si>
    <t>Ex</t>
  </si>
  <si>
    <t>Alan sınıflandırması var mı?</t>
  </si>
  <si>
    <t>Varsa uygun EPL/Ex ekipman</t>
  </si>
  <si>
    <t>HSE/Ex uzmanı</t>
  </si>
  <si>
    <t>Kritik</t>
  </si>
  <si>
    <t>KAYNAKLAR VE ERİŞİM BAĞLANTILARI</t>
  </si>
  <si>
    <t>Resmî standart sayfaları ve üretici ürün sayfaları. Bağlantılar düz metindir; erişim için tarayıcıya kopyalayın.</t>
  </si>
  <si>
    <t>Tür</t>
  </si>
  <si>
    <t>Kullanılan bilgi</t>
  </si>
  <si>
    <t>URL</t>
  </si>
  <si>
    <t>IEC 60204-1:2016</t>
  </si>
  <si>
    <t>IEC resmî</t>
  </si>
  <si>
    <t>Makine elektrik ekipmanı kapsamı ve çevre şartları</t>
  </si>
  <si>
    <t>IEC 61439-1:2020</t>
  </si>
  <si>
    <t>LV assembly genel kuralları ve doğrulama</t>
  </si>
  <si>
    <t>IEC TR 60890:2022</t>
  </si>
  <si>
    <t>Pano içi sıcaklık artışı hesap yöntemi</t>
  </si>
  <si>
    <t>IP kodu ve su/toz koruma dereceleri</t>
  </si>
  <si>
    <t>IEC IP ratings</t>
  </si>
  <si>
    <t>IEC açıklama</t>
  </si>
  <si>
    <t>IP kodundaki iki rakam ve IPX9</t>
  </si>
  <si>
    <t>https://iec.ch/ip-ratings</t>
  </si>
  <si>
    <t>IEC 60068-2-30:2025</t>
  </si>
  <si>
    <t>Çevrimli nemli sıcaklık ve yoğuşma testi</t>
  </si>
  <si>
    <t>IEC 60079-0:2026</t>
  </si>
  <si>
    <t>Ex ekipman genel gerekleri</t>
  </si>
  <si>
    <t>IEC 60079-14:2024</t>
  </si>
  <si>
    <t>Ex tesisat tasarım, seçim, kurulum ve muayene</t>
  </si>
  <si>
    <t>Rittal RiTherm</t>
  </si>
  <si>
    <t>Üretici</t>
  </si>
  <si>
    <t>Pano iklimlendirme hesap yazılımı</t>
  </si>
  <si>
    <t>https://www.rittal.com/com-en/Software/RiTherm</t>
  </si>
  <si>
    <t>300–1000 W ürün ailesi</t>
  </si>
  <si>
    <t>Kapasite, paslanmaz ve besleme seçenekleri</t>
  </si>
  <si>
    <t>Pfannenberg PSS</t>
  </si>
  <si>
    <t>Termal boyutlandırma yazılımı</t>
  </si>
  <si>
    <t>https://www.pfannenberg.com/en/service-support/software-and-data/pfannenberg-sizing-software-pss/</t>
  </si>
  <si>
    <t>IP56/Type 4X, A35/A50 kapasitesi</t>
  </si>
  <si>
    <t>IP56/Type 4X ve kapasite</t>
  </si>
  <si>
    <t>AISI 316, kaplı devre, IP56/Type 4X/IP66</t>
  </si>
  <si>
    <t>İç/dış ortam pano klima ailesi</t>
  </si>
  <si>
    <t>Standart / sürüm</t>
  </si>
  <si>
    <t>Neyi kapsar?</t>
  </si>
  <si>
    <t>Bu pano için pratik etkisi</t>
  </si>
  <si>
    <t>IEC 60204-1 — 2016 + A1:2021</t>
  </si>
  <si>
    <t>Makinelerin elektrik donanımı için genel güvenlik standardı Çevre/işletme şartları, ortam sıcaklığı, nem, kirleticiler, anormal sıcaklık, dokümantasyon</t>
  </si>
  <si>
    <t>Her panoya cihaz zorunluluğu koymaz; ekipmanın amaçlanan ortamda güvenli çalışmasını ister Makine elektrik panosunun ana çerçevesi EN/TS EN sürümü ve makine mevzuatıyla birlikte değerlendirilir</t>
  </si>
  <si>
    <t>IEC 61439-1 — 2020</t>
  </si>
  <si>
    <t>Alçak gerilim anahtarlama ve kontrol düzenleri için genel kurallar Servis şartları, yapı, teknik özellikler ve tasarım/sıcaklık artışı doğrulaması</t>
  </si>
  <si>
    <t>Limitlerin aşılmadığı test, referans tasarım veya uygun hesapla doğrulanır Assembly kapsamındaki pano termal doğrulaması İlgili ürün bölümüyle birlikte uygulanır</t>
  </si>
  <si>
    <t>IEC 61439-2 — 2020</t>
  </si>
  <si>
    <t>Güç anahtarlama ve kontrol düzenleri için özel bölüm PSC assembly gerekleri ve Part 1 ile tasarım doğrulaması</t>
  </si>
  <si>
    <t>Pano yapısı ve termal performansın ürün tipine göre doğrulanmasını tamamlar MCC/güç dağıtım bölümleri Part 1 tek başına uygunluk için yeterli değildir</t>
  </si>
  <si>
    <t>IEC TR 60890 — 2022</t>
  </si>
  <si>
    <t>Pano içi hava sıcaklık artışını hesaplama teknik raporu Etkin soğutma yüzeyi, güç kaybı, doğal/zorlanmış havalandırma, güneş, malzeme, duvar, rakım</t>
  </si>
  <si>
    <t>Fan/klima ihtiyacını sayısallaştıran yöntem Detay termal hesap ve doğrulama dosyası Teknik rapordur; IEC 61439 doğrulamasını destekler</t>
  </si>
  <si>
    <t>IEC 60529 — 1989+A1:1999+A2:2013</t>
  </si>
  <si>
    <t>Mahfazaların koruma dereceleri — IP Kodu Toz, su ve tehlikeli parçalara erişim; test yöntemleri</t>
  </si>
  <si>
    <t>Eklenen fan/klima tüm mahfaza derecesini bozmamalı Pano, klima, menfez, rakor ve drenaj bütünlüğü Yıkama senaryosu exact test tanımıyla eşleştirilir</t>
  </si>
  <si>
    <t>IEC 60068-2-30 — 2025</t>
  </si>
  <si>
    <t>Çevrimli nemli sıcaklık Test Db Yüksek nem, çevrimli sıcaklık ve yüzey yoğuşması altında uygunluk testi</t>
  </si>
  <si>
    <t>Yoğuşma dayanımını değerlendirir; doğrudan klima zorunluluğu koymaz Nem/yoğuşma doğrulaması Ürün/komponent deney standardıdır</t>
  </si>
  <si>
    <t>IEC 60079-0 — 2026</t>
  </si>
  <si>
    <t>Patlayıcı ortam ekipmanı genel gerekleri Ex ekipman yapısı, testleri ve işaretleme</t>
  </si>
  <si>
    <t>Standart klima/fan Ex bölgede otomatik olarak uygun değildir Ex temel gerekleri Sınıflandırılmış alan varsa</t>
  </si>
  <si>
    <t>IEC 60079-14 — 2024</t>
  </si>
  <si>
    <t>Ex tesisat tasarım, seçim, kurulum ve ilk muayene Zone/EPL, grup, sıcaklık sınıfı, çevre, dokümantasyon ve yetkinlik</t>
  </si>
  <si>
    <t>Tüm ekipman bölge ve EPL’ye uygun seçilip kurulmalı Ex alan çözümü Ex yetkin personel ve ilk muayene gerekir</t>
  </si>
  <si>
    <t>Marka / ürün</t>
  </si>
  <si>
    <t>Kapasite ve koruma</t>
  </si>
  <si>
    <t>En uygun kullanım</t>
  </si>
  <si>
    <t>Kritik seçim kontrolü</t>
  </si>
  <si>
    <t>300–1000 W; Model bazında doğrula</t>
  </si>
  <si>
    <t>Temiz endüstriyel ortam; enerji verimliliği öncelikli. İnverter + heat pipe; entegre yoğuşma buharlaştırma</t>
  </si>
  <si>
    <t>Doğrudan washdown/IP exact varyantta doğrulanmalı. Seçim: Düşük/orta ve değişken yük. Besleme: Modele göre</t>
  </si>
  <si>
    <t>1.6–5.5 kW; AISI 304 paslanmaz seçenek</t>
  </si>
  <si>
    <t>Orta/yüksek ısı yükü. Hız kontrollü, paslanmaz seçenek</t>
  </si>
  <si>
    <t>Klorür/kimyada AISI 304 ve IP exact model kontrolü. Seçim: Yüksek VFD/servo kaybı. Besleme: 110–240 V 1~ / 380–480 V 3~</t>
  </si>
  <si>
    <t>1235 W A35/A35; 570 W A35/A50; Paslanmaz; IP56, NEMA 4/4X</t>
  </si>
  <si>
    <t>Gıda, outdoor, kirli/yıkamalı ortam. 3 mm kanat aralığı; yoğuşma buharlaştırma</t>
  </si>
  <si>
    <t>50 °C ortamda 570 W değerine göre kontrol. Seçim: Yaklaşık 0.5 kW sıcak ortam yükü. Besleme: 115/230/400 V varyantlar</t>
  </si>
  <si>
    <t>1900 W A35/A35; 1758 W A35/A50; Paslanmaz; IP56, NEMA 4/4X</t>
  </si>
  <si>
    <t>Gıda, outdoor, kirli/yıkamalı ortam. Yüksek sıcaklıkta kapasitesini iyi korur</t>
  </si>
  <si>
    <t>Boyut, servis boşluğu ve kimyasal uyum. Seçim: Yaklaşık 1.5 kW sıcak ortam yükü. Besleme: 230 V veya 400/460 V</t>
  </si>
  <si>
    <t>600/1120/2000 W; seri 4000 W’a kadar; AISI 316; kaplı dış devre; IP56/Type 4X, pano tarafı IP66</t>
  </si>
  <si>
    <t>Klorür, kimyasal, su arıtma, kıyı/petrokimya. Korozyon odaklı; RS485; yoğuşma buharlaştırma</t>
  </si>
  <si>
    <t>Maliyet/tedarik ve exact soğutma eğrisi. Seçim: Korozif yıkama ortamında ilk aday. Besleme: Modele göre</t>
  </si>
  <si>
    <t>Modele göre; Paslanmaz / NEMA 4X seçenekleri</t>
  </si>
  <si>
    <t>Washdown, outdoor, UL/NEMA gereksinimi. Geniş ürün ve aksesuar ailesi</t>
  </si>
  <si>
    <t>IEC IP ile NEMA Type eşdeğer değildir; sertifika kontrolü. Seçim: Müşteri NEMA/UL istiyorsa. Besleme: Modele göre</t>
  </si>
  <si>
    <t>Alternatif</t>
  </si>
  <si>
    <t>ELEKTRİK PANOSUNDA FAN VEYA KLİMA GEREKLİ Mİ?</t>
  </si>
  <si>
    <t>Aşama 1: İklimlendirme gerekli mi? Aşama 2: Gerekliyse fan mı, klima mı, eşanjör mü?</t>
  </si>
  <si>
    <t>NET CEVAP</t>
  </si>
  <si>
    <t>Her elektrik panosunda fan veya klima bulunması zorunlu değildir. Fan/klima OLMAMASI; panonun doğal ısı yayılımıyla en kötü ortam koşulunda bütün bileşenleri izin verilen sıcaklıkların altında tutması, lokal sıcak nokta oluşturmaması, yoğuşma riskinin yönetilmesi ve bu durumun hesap veya testle doğrulanması halinde uygundur. Bu şartlardan biri sağlanmıyorsa iklimlendirme GEREKLİDİR. İklimlendirme gerekiyorsa: temiz-kuru ortamda ve ortam sıcaklığı hedef pano sıcaklığından düşükse fan düşünülebilir; su, yoğun nem, deterjan, toz veya korozif ortam varsa ya da ortam sıcaklığı hedefe eşit/yüksekse kapalı çevrim klima veya eşanjör gerekir.</t>
  </si>
  <si>
    <t>ÖNCE GEREKLİLİK, SONRA CİHAZ SEÇİMİ</t>
  </si>
  <si>
    <t>Fan veya klima gerekli mi?</t>
  </si>
  <si>
    <t>Kararın nedeni</t>
  </si>
  <si>
    <t>Gerekiyorsa çözüm</t>
  </si>
  <si>
    <t>Ek önlem</t>
  </si>
  <si>
    <t>Doğal ısı yayılımı yeterli; tüm komponentler limit altında; yoğuşma/hotspot yok</t>
  </si>
  <si>
    <t>Pano pasif olarak güvenli sıcaklıkta kalıyor</t>
  </si>
  <si>
    <t>Cihaz takılmaz</t>
  </si>
  <si>
    <t>Hesap veya tam yük testiyle belgele</t>
  </si>
  <si>
    <t>Doğal ısı yayılımı yetersiz; temiz-kuru hava; Tambient &lt; hedef iç sıcaklık</t>
  </si>
  <si>
    <t>İç ısı yükünün dışarı atılması gerekiyor</t>
  </si>
  <si>
    <t>Filtre kirliliği ve gerçek debiyi izle</t>
  </si>
  <si>
    <t>Doğrudan yıkama, yoğun nem, yağ, deterjan veya iletken/kirli toz</t>
  </si>
  <si>
    <t>Açık çevrim fan dış ortamı panoya taşır</t>
  </si>
  <si>
    <t>Kapalı çevrim klima veya hava-su eşanjörü</t>
  </si>
  <si>
    <t>Uygun IP, drenaj ve anti-kondenz</t>
  </si>
  <si>
    <t>Tambient hedef pano sıcaklığına eşit veya daha yüksek</t>
  </si>
  <si>
    <t>Fan panoyu ortam sıcaklığının altına indiremez</t>
  </si>
  <si>
    <t>Kompresörlü pano kliması veya soğuk su eşanjörü</t>
  </si>
  <si>
    <t>A35/A50 kapasitesini kontrol et</t>
  </si>
  <si>
    <t>Klorür, kostik, tuz sisi veya korozif kimyasal</t>
  </si>
  <si>
    <t>Yüke göre; gerekirse kapalı çevrim</t>
  </si>
  <si>
    <t>Korozyon ve sızdırmazlık riski</t>
  </si>
  <si>
    <t>AISI 316, kaplı kondenser/borulamalı klima</t>
  </si>
  <si>
    <t>Conta ve kimyasal uyum beyanı</t>
  </si>
  <si>
    <t>Isı yükü yok/düşük fakat çiğ noktası riski var</t>
  </si>
  <si>
    <t>Fan/klima gerekmeyebilir</t>
  </si>
  <si>
    <t>Sorun aşırı ısı değil yoğuşmadır</t>
  </si>
  <si>
    <t>Fan/klima yerine higrostatlı ısıtıcı değerlendir</t>
  </si>
  <si>
    <t>Hedef sıcaklık ≥ çiğ noktası +3 K</t>
  </si>
  <si>
    <t>Patlayıcı gaz/toz bölgesi</t>
  </si>
  <si>
    <t>Hesaba göre; standart cihaz kullanılamaz</t>
  </si>
  <si>
    <t>Tutuşma kaynağı ve yüzey sıcaklığı riski</t>
  </si>
  <si>
    <t>Gerekirse Ex sertifikalı özel çözüm</t>
  </si>
  <si>
    <t>“GEREKLİ DEĞİL” KARARI İÇİN ASGARİ KANIT</t>
  </si>
  <si>
    <t>Kabul şartı</t>
  </si>
  <si>
    <t>Termal hesap</t>
  </si>
  <si>
    <t>Toplam kayıp ≤ panonun doğal ısı yayma kapasitesi ve tüm bileşen sıcaklık limitleri sağlanıyor.</t>
  </si>
  <si>
    <t>En kötü ortam</t>
  </si>
  <si>
    <t>Maksimum ortam sıcaklığı, yük, güneş, rakım ve duvara bitişik yüzeyler hesaba katılmış.</t>
  </si>
  <si>
    <t>Lokal sıcak nokta</t>
  </si>
  <si>
    <t>VFD, servo, güç kaynağı ve trafo çevresinde üretici sıcaklık sınırı aşılmıyor.</t>
  </si>
  <si>
    <t>Duruş/yıkama sonrası çiğ noktası riski yok veya higrostatlı ısıtıcıyla kontrol ediliyor.</t>
  </si>
  <si>
    <t>Doğrulama</t>
  </si>
  <si>
    <t>IEC 61439 kapsamında test, referans tasarım veya uygun hesap yöntemiyle kayıt oluşturulmuş.</t>
  </si>
  <si>
    <t>Değişiklik yönetimi</t>
  </si>
  <si>
    <t>Sonradan cihaz/ısı yükü eklenirse termal hesap yeniden yapılıyor.</t>
  </si>
  <si>
    <t>Geometrik 6 yüzey; etkin yüzey montaja göre düşebilir</t>
  </si>
  <si>
    <t>Aktif olarak atılması gereken ısı</t>
  </si>
  <si>
    <t>0 W ise doğal ısı yayılımı bu ön hesaba göre yeterli</t>
  </si>
  <si>
    <t>Birinci aşama kararı</t>
  </si>
  <si>
    <t>Termal ve çevresel gerekçe</t>
  </si>
  <si>
    <t>Gerekiyorsa hangi çözüm?</t>
  </si>
  <si>
    <t>İkinci aşama kararı</t>
  </si>
  <si>
    <t>Önerilen klima kapasitesi</t>
  </si>
  <si>
    <t>Yalnız klima/eşanjör seçildiyse kullanın</t>
  </si>
  <si>
    <t>Yalnız fan seçildiyse; filtre kaybı dahil değil</t>
  </si>
  <si>
    <t>Malzeme / koruma</t>
  </si>
  <si>
    <t>Yıkama ve kimyasala göre</t>
  </si>
  <si>
    <t>Yoğuşma / Ex uyarısı</t>
  </si>
  <si>
    <t>Ek güvenlik kontrolü</t>
  </si>
  <si>
    <t>IEC standartları her elektrik panosuna fan veya klima takılmasını doğrudan zorunlu kılmaz. Zorunlu olan sonuçtur: amaçlanan en kötü ortam ve yük altında komponent sıcaklık sınırları, pano sıcaklık artışı, IP koruması, yoğuşma ve güvenlik şartları sağlanmalıdır. Doğal ısı yayılımı yeterliyse fan/klima kullanılmayabilir; yeterli değilse iklimlendirme gerekir. Gerekli olduğunda temiz-kuru ve daha serin ortamda fan, yıkamalı/kirli/korozif ortamda veya Tambient ≥ hedef sıcaklıkta kapalı çevrim klima/eşanjör seçilir.</t>
  </si>
  <si>
    <t>Kapasite hesabı sayfasında değer gireceğim yerlerdeki hücrelere not ekleyip açıklama yazar mısın. Toplam ekipman ısı kaybı gibi değerleri nasıl hesaplayacakmışım hesaplayamadığım durumda ne yapmam lazım gibi ufak ufak notlar. Ayrıca formüle bağlı hücrelerde de not ile matematiksel formülü ekler misin. Şu anda excel üzerindeki formülü görüyor ama matematiksel formulü eksik.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</si>
</sst>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5" x14ac:knownFonts="1">
    <font>
      <sz val="11"/>
      <color theme="1"/>
      <name val="Calibri"/>
      <family val="2"/>
      <scheme val="minor"/>
    </font>
    <font>
      <u/>
      <sz val="11"/>
      <color theme="10"/>
      <name val="Calibri"/>
      <family val="2"/>
      <scheme val="minor"/>
    </font>
    <font>
      <b/>
      <sz val="11"/>
      <color rgb="FFFFFFFF"/>
      <name val="Calibri"/>
      <family val="2"/>
      <scheme val="minor"/>
    </font>
    <font>
      <b/>
      <sz val="18"/>
      <color rgb="FFFFFFFF"/>
      <name val="Calibri"/>
      <family val="2"/>
      <scheme val="minor"/>
    </font>
    <font>
      <i/>
      <sz val="10"/>
      <color rgb="FF666666"/>
      <name val="Calibri"/>
      <family val="2"/>
      <scheme val="minor"/>
    </font>
    <font>
      <b/>
      <sz val="11"/>
      <color theme="1"/>
      <name val="Calibri"/>
      <family val="2"/>
      <scheme val="minor"/>
    </font>
    <font>
      <b/>
      <sz val="12"/>
      <color rgb="FFFFFFFF"/>
      <name val="Calibri"/>
      <family val="2"/>
      <scheme val="minor"/>
    </font>
    <font>
      <b/>
      <sz val="18"/>
      <color rgb="FFFFFFFF"/>
      <name val="Aptos"/>
    </font>
    <font>
      <i/>
      <sz val="10"/>
      <color rgb="FF666666"/>
      <name val="Aptos"/>
    </font>
    <font>
      <b/>
      <sz val="12"/>
      <color rgb="FFFFFFFF"/>
      <name val="Aptos"/>
    </font>
    <font>
      <b/>
      <sz val="10"/>
      <color rgb="FFFFFFFF"/>
      <name val="Aptos"/>
    </font>
    <font>
      <sz val="10"/>
      <color theme="1"/>
      <name val="Aptos"/>
    </font>
    <font>
      <b/>
      <sz val="10"/>
      <color rgb="FF2F75B5"/>
      <name val="Aptos"/>
    </font>
    <font>
      <sz val="10"/>
      <color rgb="FF666666"/>
      <name val="Aptos"/>
    </font>
    <font>
      <sz val="10"/>
      <color rgb="FF666666"/>
      <name val="Calibri"/>
      <family val="2"/>
      <scheme val="minor"/>
    </font>
  </fonts>
  <fills count="8">
    <fill>
      <patternFill patternType="none"/>
    </fill>
    <fill>
      <patternFill patternType="gray125"/>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FFF2CC"/>
        <bgColor indexed="64"/>
      </patternFill>
    </fill>
    <fill>
      <patternFill patternType="solid">
        <fgColor rgb="FFE2F0D9"/>
        <bgColor indexed="64"/>
      </patternFill>
    </fill>
    <fill>
      <patternFill patternType="solid">
        <fgColor rgb="FFFCE4D6"/>
        <bgColor indexed="64"/>
      </patternFill>
    </fill>
  </fills>
  <borders count="4">
    <border>
      <left/>
      <right/>
      <top/>
      <bottom/>
      <diagonal/>
    </border>
    <border>
      <left/>
      <right/>
      <top/>
      <bottom style="thin">
        <color rgb="FFB4C6E7"/>
      </bottom>
      <diagonal/>
    </border>
    <border>
      <left style="thin">
        <color rgb="FFB4C6E7"/>
      </left>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0" fontId="4" fillId="0" borderId="0" xfId="0" applyFont="1" applyAlignment="1">
      <alignment wrapText="1"/>
    </xf>
    <xf numFmtId="0" fontId="2" fillId="2" borderId="3" xfId="0" applyFont="1" applyFill="1" applyBorder="1" applyAlignment="1">
      <alignment horizontal="center" wrapText="1"/>
    </xf>
    <xf numFmtId="0" fontId="0" fillId="0" borderId="3" xfId="0" applyBorder="1"/>
    <xf numFmtId="0" fontId="0" fillId="0" borderId="3" xfId="0" applyBorder="1" applyAlignment="1">
      <alignment wrapText="1"/>
    </xf>
    <xf numFmtId="0" fontId="0" fillId="5" borderId="3" xfId="0" applyFill="1" applyBorder="1" applyAlignment="1">
      <alignment wrapText="1"/>
    </xf>
    <xf numFmtId="165" fontId="0" fillId="0" borderId="3" xfId="0" applyNumberFormat="1" applyBorder="1"/>
    <xf numFmtId="1" fontId="0" fillId="0" borderId="3" xfId="0" applyNumberFormat="1" applyBorder="1"/>
    <xf numFmtId="0" fontId="0" fillId="6" borderId="3" xfId="0" applyFill="1" applyBorder="1"/>
    <xf numFmtId="0" fontId="0" fillId="6" borderId="3" xfId="0" applyFill="1" applyBorder="1" applyAlignment="1">
      <alignment wrapText="1"/>
    </xf>
    <xf numFmtId="0" fontId="5" fillId="0" borderId="3" xfId="0" applyFont="1" applyBorder="1" applyAlignment="1">
      <alignment wrapText="1"/>
    </xf>
    <xf numFmtId="0" fontId="10" fillId="2" borderId="0" xfId="0" applyFont="1" applyFill="1" applyAlignment="1">
      <alignment vertical="top"/>
    </xf>
    <xf numFmtId="0" fontId="8" fillId="0" borderId="0" xfId="0" applyFont="1" applyAlignment="1">
      <alignment vertical="top" wrapText="1"/>
    </xf>
    <xf numFmtId="0" fontId="11" fillId="0" borderId="0" xfId="0" applyFont="1" applyAlignment="1">
      <alignment vertical="top"/>
    </xf>
    <xf numFmtId="0" fontId="10" fillId="3" borderId="0" xfId="0" applyFont="1" applyFill="1" applyAlignment="1">
      <alignment vertical="top"/>
    </xf>
    <xf numFmtId="0" fontId="11" fillId="4" borderId="0" xfId="0" applyFont="1" applyFill="1" applyAlignment="1">
      <alignment vertical="top" wrapText="1"/>
    </xf>
    <xf numFmtId="0" fontId="10" fillId="2" borderId="3" xfId="0" applyFont="1" applyFill="1" applyBorder="1" applyAlignment="1">
      <alignment horizontal="center" vertical="top" wrapText="1"/>
    </xf>
    <xf numFmtId="0" fontId="12" fillId="0" borderId="3" xfId="0" applyFont="1" applyBorder="1" applyAlignment="1">
      <alignment vertical="top"/>
    </xf>
    <xf numFmtId="0" fontId="11" fillId="0" borderId="3" xfId="0" applyFont="1" applyBorder="1" applyAlignment="1">
      <alignment vertical="top"/>
    </xf>
    <xf numFmtId="0" fontId="11" fillId="0" borderId="3" xfId="0" applyFont="1" applyBorder="1" applyAlignment="1">
      <alignment vertical="top" wrapText="1"/>
    </xf>
    <xf numFmtId="0" fontId="11" fillId="5" borderId="3" xfId="0" applyFont="1" applyFill="1" applyBorder="1" applyAlignment="1">
      <alignment vertical="top" wrapText="1"/>
    </xf>
    <xf numFmtId="0" fontId="10" fillId="2" borderId="2" xfId="0" applyFont="1" applyFill="1" applyBorder="1" applyAlignment="1">
      <alignment horizontal="center" vertical="top" wrapText="1"/>
    </xf>
    <xf numFmtId="0" fontId="11" fillId="5" borderId="3" xfId="0" applyFont="1" applyFill="1" applyBorder="1" applyAlignment="1">
      <alignment vertical="top"/>
    </xf>
    <xf numFmtId="0" fontId="11" fillId="0" borderId="2" xfId="0" applyFont="1" applyBorder="1" applyAlignment="1">
      <alignment vertical="top"/>
    </xf>
    <xf numFmtId="9" fontId="11" fillId="5" borderId="3" xfId="0" applyNumberFormat="1" applyFont="1" applyFill="1" applyBorder="1" applyAlignment="1">
      <alignment vertical="top"/>
    </xf>
    <xf numFmtId="0" fontId="11" fillId="7" borderId="0" xfId="0" applyFont="1" applyFill="1" applyAlignment="1">
      <alignment vertical="top" wrapText="1"/>
    </xf>
    <xf numFmtId="0" fontId="11" fillId="7" borderId="3" xfId="0" applyFont="1" applyFill="1" applyBorder="1" applyAlignment="1">
      <alignment vertical="top" wrapText="1"/>
    </xf>
    <xf numFmtId="0" fontId="7" fillId="2" borderId="0" xfId="0" applyFont="1" applyFill="1" applyAlignment="1">
      <alignment vertical="top" wrapText="1"/>
    </xf>
    <xf numFmtId="0" fontId="9" fillId="3" borderId="0" xfId="0" applyFont="1" applyFill="1" applyAlignment="1">
      <alignment vertical="top" wrapText="1"/>
    </xf>
    <xf numFmtId="0" fontId="9" fillId="3" borderId="1" xfId="0" applyFont="1" applyFill="1" applyBorder="1" applyAlignment="1">
      <alignment vertical="top" wrapText="1"/>
    </xf>
    <xf numFmtId="0" fontId="3" fillId="2" borderId="0" xfId="0" applyFont="1" applyFill="1" applyAlignment="1">
      <alignment wrapText="1"/>
    </xf>
    <xf numFmtId="0" fontId="6" fillId="3" borderId="0" xfId="0" applyFont="1" applyFill="1" applyAlignment="1">
      <alignment wrapText="1"/>
    </xf>
    <xf numFmtId="0" fontId="14" fillId="4" borderId="0" xfId="0" applyFont="1" applyFill="1" applyAlignment="1">
      <alignment wrapText="1"/>
    </xf>
    <xf numFmtId="0" fontId="1" fillId="0" borderId="3" xfId="1" applyBorder="1" applyAlignment="1">
      <alignment wrapText="1"/>
    </xf>
    <xf numFmtId="0" fontId="13" fillId="4" borderId="0" xfId="0" applyFont="1" applyFill="1" applyAlignment="1">
      <alignment vertical="center" wrapText="1"/>
    </xf>
    <xf numFmtId="0" fontId="9" fillId="3" borderId="0" xfId="0" applyFont="1" applyFill="1" applyBorder="1" applyAlignment="1">
      <alignment vertical="top" wrapText="1"/>
    </xf>
    <xf numFmtId="1" fontId="0" fillId="0" borderId="3" xfId="0" applyNumberFormat="1" applyBorder="1" applyAlignment="1">
      <alignment wrapText="1"/>
    </xf>
    <xf numFmtId="0" fontId="0" fillId="0" borderId="0" xfId="0" applyAlignment="1">
      <alignment horizontal="center" vertical="center" wrapText="1"/>
    </xf>
  </cellXfs>
  <cellStyles count="2">
    <cellStyle name="Köprü" xfId="1" builtinId="8"/>
    <cellStyle name="Normal" xfId="0" builtinId="0"/>
  </cellStyles>
  <dxfs count="2">
    <dxf>
      <font>
        <color rgb="FF9C0006"/>
      </font>
      <fill>
        <patternFill patternType="solid">
          <fgColor indexed="64"/>
          <bgColor rgb="FFFFC7CE"/>
        </patternFill>
      </fill>
    </dxf>
    <dxf>
      <font>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ebstore.iec.ch/en/publication/82356" TargetMode="External"/><Relationship Id="rId3" Type="http://schemas.openxmlformats.org/officeDocument/2006/relationships/hyperlink" Target="https://webstore.iec.ch/en/publication/30043" TargetMode="External"/><Relationship Id="rId7" Type="http://schemas.openxmlformats.org/officeDocument/2006/relationships/hyperlink" Target="https://webstore.iec.ch/en/publication/71519" TargetMode="External"/><Relationship Id="rId2" Type="http://schemas.openxmlformats.org/officeDocument/2006/relationships/hyperlink" Target="https://webstore.iec.ch/en/publication/32338" TargetMode="External"/><Relationship Id="rId1" Type="http://schemas.openxmlformats.org/officeDocument/2006/relationships/hyperlink" Target="https://webstore.iec.ch/en/publication/26037" TargetMode="External"/><Relationship Id="rId6" Type="http://schemas.openxmlformats.org/officeDocument/2006/relationships/hyperlink" Target="https://webstore.iec.ch/en/publication/66049" TargetMode="External"/><Relationship Id="rId5" Type="http://schemas.openxmlformats.org/officeDocument/2006/relationships/hyperlink" Target="https://webstore.iec.ch/en/publication/2452" TargetMode="External"/><Relationship Id="rId4" Type="http://schemas.openxmlformats.org/officeDocument/2006/relationships/hyperlink" Target="https://webstore.iec.ch/en/publication/660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workbookViewId="0">
      <selection activeCell="B16" sqref="B16"/>
    </sheetView>
  </sheetViews>
  <sheetFormatPr defaultRowHeight="15" x14ac:dyDescent="0.25"/>
  <cols>
    <col min="1" max="1" width="38.140625" customWidth="1"/>
    <col min="2" max="2" width="66.7109375" customWidth="1"/>
    <col min="3" max="8" width="8.5703125" customWidth="1"/>
  </cols>
  <sheetData>
    <row r="1" spans="1:8" x14ac:dyDescent="0.25">
      <c r="A1" s="11" t="s">
        <v>0</v>
      </c>
      <c r="B1" s="11"/>
      <c r="C1" s="11"/>
      <c r="D1" s="11"/>
      <c r="E1" s="11"/>
      <c r="F1" s="11"/>
      <c r="G1" s="11"/>
      <c r="H1" s="11"/>
    </row>
    <row r="2" spans="1:8" x14ac:dyDescent="0.25">
      <c r="A2" s="11"/>
      <c r="B2" s="11"/>
      <c r="C2" s="11"/>
      <c r="D2" s="11"/>
      <c r="E2" s="11"/>
      <c r="F2" s="11"/>
      <c r="G2" s="11"/>
      <c r="H2" s="11"/>
    </row>
    <row r="3" spans="1:8" x14ac:dyDescent="0.25">
      <c r="A3" s="12" t="s">
        <v>1</v>
      </c>
      <c r="B3" s="12"/>
      <c r="C3" s="12"/>
      <c r="D3" s="12"/>
      <c r="E3" s="12"/>
      <c r="F3" s="12"/>
      <c r="G3" s="12"/>
      <c r="H3" s="12"/>
    </row>
    <row r="4" spans="1:8" x14ac:dyDescent="0.25">
      <c r="A4" s="12"/>
      <c r="B4" s="12"/>
      <c r="C4" s="12"/>
      <c r="D4" s="12"/>
      <c r="E4" s="12"/>
      <c r="F4" s="12"/>
      <c r="G4" s="12"/>
      <c r="H4" s="12"/>
    </row>
    <row r="5" spans="1:8" x14ac:dyDescent="0.25">
      <c r="A5" s="13"/>
      <c r="B5" s="13"/>
      <c r="C5" s="13"/>
      <c r="D5" s="13"/>
      <c r="E5" s="13"/>
      <c r="F5" s="13"/>
      <c r="G5" s="13"/>
      <c r="H5" s="13"/>
    </row>
    <row r="6" spans="1:8" x14ac:dyDescent="0.25">
      <c r="A6" s="14" t="s">
        <v>2</v>
      </c>
      <c r="B6" s="14"/>
      <c r="C6" s="14"/>
      <c r="D6" s="14"/>
      <c r="E6" s="14"/>
      <c r="F6" s="14"/>
      <c r="G6" s="14"/>
      <c r="H6" s="14"/>
    </row>
    <row r="7" spans="1:8" x14ac:dyDescent="0.25">
      <c r="A7" s="15" t="s">
        <v>3</v>
      </c>
      <c r="B7" s="15"/>
      <c r="C7" s="15"/>
      <c r="D7" s="15"/>
      <c r="E7" s="15"/>
      <c r="F7" s="15"/>
      <c r="G7" s="15"/>
      <c r="H7" s="15"/>
    </row>
    <row r="8" spans="1:8" x14ac:dyDescent="0.25">
      <c r="A8" s="15"/>
      <c r="B8" s="15"/>
      <c r="C8" s="15"/>
      <c r="D8" s="15"/>
      <c r="E8" s="15"/>
      <c r="F8" s="15"/>
      <c r="G8" s="15"/>
      <c r="H8" s="15"/>
    </row>
    <row r="9" spans="1:8" x14ac:dyDescent="0.25">
      <c r="A9" s="15"/>
      <c r="B9" s="15"/>
      <c r="C9" s="15"/>
      <c r="D9" s="15"/>
      <c r="E9" s="15"/>
      <c r="F9" s="15"/>
      <c r="G9" s="15"/>
      <c r="H9" s="15"/>
    </row>
    <row r="10" spans="1:8" x14ac:dyDescent="0.25">
      <c r="A10" s="15"/>
      <c r="B10" s="15"/>
      <c r="C10" s="15"/>
      <c r="D10" s="15"/>
      <c r="E10" s="15"/>
      <c r="F10" s="15"/>
      <c r="G10" s="15"/>
      <c r="H10" s="15"/>
    </row>
    <row r="11" spans="1:8" x14ac:dyDescent="0.25">
      <c r="A11" s="13"/>
      <c r="B11" s="13"/>
      <c r="C11" s="13"/>
      <c r="D11" s="13"/>
      <c r="E11" s="13"/>
      <c r="F11" s="13"/>
      <c r="G11" s="13"/>
      <c r="H11" s="13"/>
    </row>
    <row r="12" spans="1:8" x14ac:dyDescent="0.25">
      <c r="A12" s="14" t="s">
        <v>4</v>
      </c>
      <c r="B12" s="14"/>
      <c r="C12" s="14"/>
      <c r="D12" s="14"/>
      <c r="E12" s="14"/>
      <c r="F12" s="14"/>
      <c r="G12" s="14"/>
      <c r="H12" s="14"/>
    </row>
    <row r="13" spans="1:8" x14ac:dyDescent="0.25">
      <c r="A13" s="16" t="s">
        <v>5</v>
      </c>
      <c r="B13" s="16" t="s">
        <v>6</v>
      </c>
      <c r="C13" s="13"/>
      <c r="D13" s="13"/>
      <c r="E13" s="13"/>
      <c r="F13" s="13"/>
      <c r="G13" s="13"/>
      <c r="H13" s="13"/>
    </row>
    <row r="14" spans="1:8" x14ac:dyDescent="0.25">
      <c r="A14" s="17" t="s">
        <v>7</v>
      </c>
      <c r="B14" s="18" t="s">
        <v>8</v>
      </c>
      <c r="C14" s="13"/>
      <c r="D14" s="13"/>
      <c r="E14" s="13"/>
      <c r="F14" s="13"/>
      <c r="G14" s="13"/>
      <c r="H14" s="13"/>
    </row>
    <row r="15" spans="1:8" x14ac:dyDescent="0.25">
      <c r="A15" s="17" t="s">
        <v>9</v>
      </c>
      <c r="B15" s="18" t="s">
        <v>10</v>
      </c>
      <c r="C15" s="13"/>
      <c r="D15" s="13"/>
      <c r="E15" s="13"/>
      <c r="F15" s="13"/>
      <c r="G15" s="13"/>
      <c r="H15" s="13"/>
    </row>
    <row r="16" spans="1:8" x14ac:dyDescent="0.25">
      <c r="A16" s="17" t="s">
        <v>11</v>
      </c>
      <c r="B16" s="18" t="s">
        <v>12</v>
      </c>
      <c r="C16" s="13"/>
      <c r="D16" s="13"/>
      <c r="E16" s="13"/>
      <c r="F16" s="13"/>
      <c r="G16" s="13"/>
      <c r="H16" s="13"/>
    </row>
    <row r="17" spans="1:8" x14ac:dyDescent="0.25">
      <c r="A17" s="17" t="s">
        <v>13</v>
      </c>
      <c r="B17" s="18" t="s">
        <v>14</v>
      </c>
      <c r="C17" s="13"/>
      <c r="D17" s="13"/>
      <c r="E17" s="13"/>
      <c r="F17" s="13"/>
      <c r="G17" s="13"/>
      <c r="H17" s="13"/>
    </row>
    <row r="18" spans="1:8" x14ac:dyDescent="0.25">
      <c r="A18" s="17" t="s">
        <v>15</v>
      </c>
      <c r="B18" s="18" t="s">
        <v>16</v>
      </c>
      <c r="C18" s="13"/>
      <c r="D18" s="13"/>
      <c r="E18" s="13"/>
      <c r="F18" s="13"/>
      <c r="G18" s="13"/>
      <c r="H18" s="13"/>
    </row>
    <row r="19" spans="1:8" x14ac:dyDescent="0.25">
      <c r="A19" s="17" t="s">
        <v>17</v>
      </c>
      <c r="B19" s="18" t="s">
        <v>18</v>
      </c>
      <c r="C19" s="13"/>
      <c r="D19" s="13"/>
      <c r="E19" s="13"/>
      <c r="F19" s="13"/>
      <c r="G19" s="13"/>
      <c r="H19" s="13"/>
    </row>
    <row r="23" spans="1:8" ht="21.95" customHeight="1" x14ac:dyDescent="0.25"/>
  </sheetData>
  <mergeCells count="5">
    <mergeCell ref="A1:H2"/>
    <mergeCell ref="A3:H4"/>
    <mergeCell ref="A6:H6"/>
    <mergeCell ref="A7:H10"/>
    <mergeCell ref="A12:H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52B6A-D496-428B-89F1-8D1A18B009D0}">
  <dimension ref="A1:F29"/>
  <sheetViews>
    <sheetView topLeftCell="A16" workbookViewId="0">
      <selection activeCell="A12" sqref="A12:F12"/>
    </sheetView>
  </sheetViews>
  <sheetFormatPr defaultRowHeight="15" x14ac:dyDescent="0.25"/>
  <cols>
    <col min="1" max="1" width="17.140625" customWidth="1"/>
    <col min="2" max="6" width="27.5703125" customWidth="1"/>
    <col min="7" max="8" width="17.140625" customWidth="1"/>
  </cols>
  <sheetData>
    <row r="1" spans="1:6" x14ac:dyDescent="0.25">
      <c r="A1" s="27" t="s">
        <v>273</v>
      </c>
      <c r="B1" s="27"/>
      <c r="C1" s="27"/>
      <c r="D1" s="27"/>
      <c r="E1" s="27"/>
      <c r="F1" s="27"/>
    </row>
    <row r="2" spans="1:6" x14ac:dyDescent="0.25">
      <c r="A2" s="27"/>
      <c r="B2" s="27"/>
      <c r="C2" s="27"/>
      <c r="D2" s="27"/>
      <c r="E2" s="27"/>
      <c r="F2" s="27"/>
    </row>
    <row r="3" spans="1:6" x14ac:dyDescent="0.25">
      <c r="A3" s="12" t="s">
        <v>274</v>
      </c>
      <c r="B3" s="12"/>
      <c r="C3" s="12"/>
      <c r="D3" s="12"/>
      <c r="E3" s="12"/>
      <c r="F3" s="12"/>
    </row>
    <row r="4" spans="1:6" x14ac:dyDescent="0.25">
      <c r="A4" s="12"/>
      <c r="B4" s="12"/>
      <c r="C4" s="12"/>
      <c r="D4" s="12"/>
      <c r="E4" s="12"/>
      <c r="F4" s="12"/>
    </row>
    <row r="5" spans="1:6" x14ac:dyDescent="0.25">
      <c r="A5" s="13"/>
      <c r="B5" s="13"/>
      <c r="C5" s="13"/>
      <c r="D5" s="13"/>
      <c r="E5" s="13"/>
      <c r="F5" s="13"/>
    </row>
    <row r="6" spans="1:6" ht="15.75" x14ac:dyDescent="0.25">
      <c r="A6" s="28" t="s">
        <v>275</v>
      </c>
      <c r="B6" s="28"/>
      <c r="C6" s="28"/>
      <c r="D6" s="28"/>
      <c r="E6" s="28"/>
      <c r="F6" s="28"/>
    </row>
    <row r="7" spans="1:6" x14ac:dyDescent="0.25">
      <c r="A7" s="34" t="s">
        <v>276</v>
      </c>
      <c r="B7" s="34"/>
      <c r="C7" s="34"/>
      <c r="D7" s="34"/>
      <c r="E7" s="34"/>
      <c r="F7" s="34"/>
    </row>
    <row r="8" spans="1:6" x14ac:dyDescent="0.25">
      <c r="A8" s="34"/>
      <c r="B8" s="34"/>
      <c r="C8" s="34"/>
      <c r="D8" s="34"/>
      <c r="E8" s="34"/>
      <c r="F8" s="34"/>
    </row>
    <row r="9" spans="1:6" x14ac:dyDescent="0.25">
      <c r="A9" s="34"/>
      <c r="B9" s="34"/>
      <c r="C9" s="34"/>
      <c r="D9" s="34"/>
      <c r="E9" s="34"/>
      <c r="F9" s="34"/>
    </row>
    <row r="10" spans="1:6" x14ac:dyDescent="0.25">
      <c r="A10" s="34"/>
      <c r="B10" s="34"/>
      <c r="C10" s="34"/>
      <c r="D10" s="34"/>
      <c r="E10" s="34"/>
      <c r="F10" s="34"/>
    </row>
    <row r="11" spans="1:6" x14ac:dyDescent="0.25">
      <c r="A11" s="13"/>
      <c r="B11" s="13"/>
      <c r="C11" s="13"/>
      <c r="D11" s="13"/>
      <c r="E11" s="13"/>
      <c r="F11" s="13"/>
    </row>
    <row r="12" spans="1:6" ht="15.75" x14ac:dyDescent="0.25">
      <c r="A12" s="35" t="s">
        <v>277</v>
      </c>
      <c r="B12" s="35"/>
      <c r="C12" s="35"/>
      <c r="D12" s="35"/>
      <c r="E12" s="35"/>
      <c r="F12" s="29"/>
    </row>
    <row r="13" spans="1:6" x14ac:dyDescent="0.25">
      <c r="A13" s="2" t="s">
        <v>19</v>
      </c>
      <c r="B13" s="2" t="s">
        <v>278</v>
      </c>
      <c r="C13" s="2" t="s">
        <v>279</v>
      </c>
      <c r="D13" s="2" t="s">
        <v>280</v>
      </c>
      <c r="E13" s="2" t="s">
        <v>281</v>
      </c>
    </row>
    <row r="14" spans="1:6" ht="90" x14ac:dyDescent="0.25">
      <c r="A14" s="4" t="s">
        <v>282</v>
      </c>
      <c r="B14" s="5" t="s">
        <v>59</v>
      </c>
      <c r="C14" s="4" t="s">
        <v>283</v>
      </c>
      <c r="D14" s="4" t="s">
        <v>284</v>
      </c>
      <c r="E14" s="4" t="s">
        <v>285</v>
      </c>
    </row>
    <row r="15" spans="1:6" ht="75" x14ac:dyDescent="0.25">
      <c r="A15" s="4" t="s">
        <v>286</v>
      </c>
      <c r="B15" s="5" t="s">
        <v>56</v>
      </c>
      <c r="C15" s="4" t="s">
        <v>287</v>
      </c>
      <c r="D15" s="4" t="s">
        <v>20</v>
      </c>
      <c r="E15" s="4" t="s">
        <v>288</v>
      </c>
    </row>
    <row r="16" spans="1:6" ht="60" x14ac:dyDescent="0.25">
      <c r="A16" s="4" t="s">
        <v>289</v>
      </c>
      <c r="B16" s="5" t="s">
        <v>56</v>
      </c>
      <c r="C16" s="4" t="s">
        <v>290</v>
      </c>
      <c r="D16" s="4" t="s">
        <v>291</v>
      </c>
      <c r="E16" s="4" t="s">
        <v>292</v>
      </c>
    </row>
    <row r="17" spans="1:6" ht="60" x14ac:dyDescent="0.25">
      <c r="A17" s="4" t="s">
        <v>293</v>
      </c>
      <c r="B17" s="5" t="s">
        <v>56</v>
      </c>
      <c r="C17" s="4" t="s">
        <v>294</v>
      </c>
      <c r="D17" s="4" t="s">
        <v>295</v>
      </c>
      <c r="E17" s="4" t="s">
        <v>296</v>
      </c>
    </row>
    <row r="18" spans="1:6" ht="45" x14ac:dyDescent="0.25">
      <c r="A18" s="4" t="s">
        <v>297</v>
      </c>
      <c r="B18" s="5" t="s">
        <v>298</v>
      </c>
      <c r="C18" s="4" t="s">
        <v>299</v>
      </c>
      <c r="D18" s="4" t="s">
        <v>300</v>
      </c>
      <c r="E18" s="4" t="s">
        <v>301</v>
      </c>
    </row>
    <row r="19" spans="1:6" ht="60" x14ac:dyDescent="0.25">
      <c r="A19" s="4" t="s">
        <v>302</v>
      </c>
      <c r="B19" s="5" t="s">
        <v>303</v>
      </c>
      <c r="C19" s="4" t="s">
        <v>304</v>
      </c>
      <c r="D19" s="4" t="s">
        <v>305</v>
      </c>
      <c r="E19" s="4" t="s">
        <v>306</v>
      </c>
    </row>
    <row r="20" spans="1:6" ht="30" x14ac:dyDescent="0.25">
      <c r="A20" s="4" t="s">
        <v>307</v>
      </c>
      <c r="B20" s="5" t="s">
        <v>308</v>
      </c>
      <c r="C20" s="4" t="s">
        <v>309</v>
      </c>
      <c r="D20" s="4" t="s">
        <v>310</v>
      </c>
      <c r="E20" s="4" t="s">
        <v>21</v>
      </c>
    </row>
    <row r="21" spans="1:6" x14ac:dyDescent="0.25">
      <c r="A21" s="13"/>
      <c r="B21" s="13"/>
      <c r="C21" s="13"/>
      <c r="D21" s="13"/>
      <c r="E21" s="13"/>
      <c r="F21" s="13"/>
    </row>
    <row r="22" spans="1:6" ht="15.75" x14ac:dyDescent="0.25">
      <c r="A22" s="28" t="s">
        <v>311</v>
      </c>
      <c r="B22" s="28"/>
      <c r="C22" s="28"/>
      <c r="D22" s="28"/>
      <c r="E22" s="28"/>
      <c r="F22" s="28"/>
    </row>
    <row r="23" spans="1:6" x14ac:dyDescent="0.25">
      <c r="A23" s="2" t="s">
        <v>22</v>
      </c>
      <c r="B23" s="2" t="s">
        <v>23</v>
      </c>
      <c r="C23" s="2" t="s">
        <v>312</v>
      </c>
    </row>
    <row r="24" spans="1:6" ht="60" x14ac:dyDescent="0.25">
      <c r="A24" s="3">
        <v>1</v>
      </c>
      <c r="B24" s="3" t="s">
        <v>313</v>
      </c>
      <c r="C24" s="4" t="s">
        <v>314</v>
      </c>
    </row>
    <row r="25" spans="1:6" ht="60" x14ac:dyDescent="0.25">
      <c r="A25" s="3">
        <v>2</v>
      </c>
      <c r="B25" s="3" t="s">
        <v>315</v>
      </c>
      <c r="C25" s="4" t="s">
        <v>316</v>
      </c>
    </row>
    <row r="26" spans="1:6" ht="45" x14ac:dyDescent="0.25">
      <c r="A26" s="3">
        <v>3</v>
      </c>
      <c r="B26" s="3" t="s">
        <v>317</v>
      </c>
      <c r="C26" s="4" t="s">
        <v>318</v>
      </c>
    </row>
    <row r="27" spans="1:6" ht="60" x14ac:dyDescent="0.25">
      <c r="A27" s="3">
        <v>4</v>
      </c>
      <c r="B27" s="3" t="s">
        <v>154</v>
      </c>
      <c r="C27" s="4" t="s">
        <v>319</v>
      </c>
    </row>
    <row r="28" spans="1:6" ht="60" x14ac:dyDescent="0.25">
      <c r="A28" s="3">
        <v>5</v>
      </c>
      <c r="B28" s="3" t="s">
        <v>320</v>
      </c>
      <c r="C28" s="4" t="s">
        <v>321</v>
      </c>
    </row>
    <row r="29" spans="1:6" ht="45" x14ac:dyDescent="0.25">
      <c r="A29" s="3">
        <v>6</v>
      </c>
      <c r="B29" s="3" t="s">
        <v>322</v>
      </c>
      <c r="C29" s="4" t="s">
        <v>323</v>
      </c>
    </row>
  </sheetData>
  <mergeCells count="6">
    <mergeCell ref="A12:F12"/>
    <mergeCell ref="A22:F22"/>
    <mergeCell ref="A1:F2"/>
    <mergeCell ref="A3:F4"/>
    <mergeCell ref="A6:F6"/>
    <mergeCell ref="A7:F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F0939-83ED-43A7-899C-D95473AB3241}">
  <dimension ref="A1:H27"/>
  <sheetViews>
    <sheetView workbookViewId="0">
      <selection activeCell="B8" sqref="B8"/>
    </sheetView>
  </sheetViews>
  <sheetFormatPr defaultRowHeight="15" x14ac:dyDescent="0.25"/>
  <cols>
    <col min="1" max="1" width="24.7109375" customWidth="1"/>
    <col min="2" max="2" width="13.28515625" customWidth="1"/>
    <col min="3" max="3" width="8.5703125" customWidth="1"/>
    <col min="4" max="4" width="26.7109375" customWidth="1"/>
    <col min="5" max="5" width="29.5703125" customWidth="1"/>
    <col min="6" max="6" width="33.28515625" customWidth="1"/>
    <col min="7" max="7" width="10.42578125" customWidth="1"/>
    <col min="8" max="8" width="57.28515625" customWidth="1"/>
  </cols>
  <sheetData>
    <row r="1" spans="1:8" x14ac:dyDescent="0.25">
      <c r="A1" s="11" t="s">
        <v>24</v>
      </c>
      <c r="B1" s="11"/>
      <c r="C1" s="11"/>
      <c r="D1" s="11"/>
      <c r="E1" s="11"/>
      <c r="F1" s="11"/>
      <c r="G1" s="11"/>
      <c r="H1" s="11"/>
    </row>
    <row r="2" spans="1:8" x14ac:dyDescent="0.25">
      <c r="A2" s="11"/>
      <c r="B2" s="11"/>
      <c r="C2" s="11"/>
      <c r="D2" s="11"/>
      <c r="E2" s="11"/>
      <c r="F2" s="11"/>
      <c r="G2" s="11"/>
      <c r="H2" s="11"/>
    </row>
    <row r="3" spans="1:8" x14ac:dyDescent="0.25">
      <c r="A3" s="12" t="s">
        <v>25</v>
      </c>
      <c r="B3" s="12"/>
      <c r="C3" s="12"/>
      <c r="D3" s="12"/>
      <c r="E3" s="12"/>
      <c r="F3" s="12"/>
      <c r="G3" s="12"/>
      <c r="H3" s="12"/>
    </row>
    <row r="4" spans="1:8" x14ac:dyDescent="0.25">
      <c r="A4" s="12"/>
      <c r="B4" s="12"/>
      <c r="C4" s="12"/>
      <c r="D4" s="12"/>
      <c r="E4" s="12"/>
      <c r="F4" s="12"/>
      <c r="G4" s="12"/>
      <c r="H4" s="12"/>
    </row>
    <row r="5" spans="1:8" x14ac:dyDescent="0.25">
      <c r="A5" s="13"/>
      <c r="B5" s="13"/>
      <c r="C5" s="13"/>
      <c r="D5" s="13"/>
      <c r="E5" s="13"/>
      <c r="F5" s="13"/>
      <c r="G5" s="13"/>
      <c r="H5" s="13"/>
    </row>
    <row r="6" spans="1:8" x14ac:dyDescent="0.25">
      <c r="A6" s="14" t="s">
        <v>26</v>
      </c>
      <c r="B6" s="14"/>
      <c r="C6" s="14"/>
      <c r="D6" s="14"/>
      <c r="E6" s="14" t="s">
        <v>27</v>
      </c>
      <c r="F6" s="14"/>
      <c r="G6" s="14"/>
      <c r="H6" s="14"/>
    </row>
    <row r="7" spans="1:8" x14ac:dyDescent="0.25">
      <c r="A7" s="16" t="s">
        <v>28</v>
      </c>
      <c r="B7" s="16" t="s">
        <v>29</v>
      </c>
      <c r="C7" s="16" t="s">
        <v>30</v>
      </c>
      <c r="D7" s="21" t="s">
        <v>31</v>
      </c>
      <c r="E7" s="2" t="s">
        <v>62</v>
      </c>
      <c r="F7" s="2" t="s">
        <v>29</v>
      </c>
      <c r="G7" s="2" t="s">
        <v>30</v>
      </c>
      <c r="H7" s="2" t="s">
        <v>63</v>
      </c>
    </row>
    <row r="8" spans="1:8" x14ac:dyDescent="0.25">
      <c r="A8" s="18" t="s">
        <v>32</v>
      </c>
      <c r="B8" s="22">
        <v>800</v>
      </c>
      <c r="C8" s="18" t="s">
        <v>33</v>
      </c>
      <c r="D8" s="23" t="s">
        <v>34</v>
      </c>
      <c r="E8" s="3" t="s">
        <v>64</v>
      </c>
      <c r="F8" s="6">
        <f>2*((B8/1000*B9/1000)+(B8/1000*B10/1000)+(B9/1000*B10/1000))</f>
        <v>3.12</v>
      </c>
      <c r="G8" s="3" t="s">
        <v>65</v>
      </c>
      <c r="H8" s="3" t="s">
        <v>324</v>
      </c>
    </row>
    <row r="9" spans="1:8" x14ac:dyDescent="0.25">
      <c r="A9" s="18" t="s">
        <v>35</v>
      </c>
      <c r="B9" s="22">
        <v>1200</v>
      </c>
      <c r="C9" s="18" t="s">
        <v>33</v>
      </c>
      <c r="D9" s="23" t="s">
        <v>34</v>
      </c>
      <c r="E9" s="3" t="s">
        <v>66</v>
      </c>
      <c r="F9" s="6">
        <f>243.04*(LN(B17/100)+(17.625*B11)/(243.04+B11))/(17.625-(LN(B17/100)+(17.625*B11)/(243.04+B11)))</f>
        <v>35.887400173839929</v>
      </c>
      <c r="G9" s="3" t="s">
        <v>38</v>
      </c>
      <c r="H9" s="3" t="s">
        <v>67</v>
      </c>
    </row>
    <row r="10" spans="1:8" x14ac:dyDescent="0.25">
      <c r="A10" s="18" t="s">
        <v>36</v>
      </c>
      <c r="B10" s="22">
        <v>300</v>
      </c>
      <c r="C10" s="18" t="s">
        <v>33</v>
      </c>
      <c r="D10" s="23" t="s">
        <v>34</v>
      </c>
      <c r="E10" s="3" t="s">
        <v>68</v>
      </c>
      <c r="F10" s="6">
        <f>F9+3</f>
        <v>38.887400173839929</v>
      </c>
      <c r="G10" s="3" t="s">
        <v>38</v>
      </c>
      <c r="H10" s="3" t="s">
        <v>69</v>
      </c>
    </row>
    <row r="11" spans="1:8" x14ac:dyDescent="0.25">
      <c r="A11" s="18" t="s">
        <v>37</v>
      </c>
      <c r="B11" s="22">
        <v>40</v>
      </c>
      <c r="C11" s="18" t="s">
        <v>38</v>
      </c>
      <c r="D11" s="23" t="s">
        <v>39</v>
      </c>
      <c r="E11" s="3" t="s">
        <v>325</v>
      </c>
      <c r="F11" s="7">
        <f>MAX(0,(B13+B14+5.5*F8*(B11-B12))*(1+B15))</f>
        <v>822.95999999999992</v>
      </c>
      <c r="G11" s="3" t="s">
        <v>43</v>
      </c>
      <c r="H11" s="3" t="s">
        <v>326</v>
      </c>
    </row>
    <row r="12" spans="1:8" x14ac:dyDescent="0.25">
      <c r="A12" s="18" t="s">
        <v>40</v>
      </c>
      <c r="B12" s="22">
        <v>35</v>
      </c>
      <c r="C12" s="18" t="s">
        <v>38</v>
      </c>
      <c r="D12" s="23" t="s">
        <v>41</v>
      </c>
      <c r="E12" s="3" t="s">
        <v>278</v>
      </c>
      <c r="F12" s="8" t="str">
        <f>IF(F11&lt;=0,"HAYIR", "EVET")</f>
        <v>EVET</v>
      </c>
      <c r="G12" s="3"/>
      <c r="H12" s="3" t="s">
        <v>327</v>
      </c>
    </row>
    <row r="13" spans="1:8" ht="30" x14ac:dyDescent="0.25">
      <c r="A13" s="18" t="s">
        <v>42</v>
      </c>
      <c r="B13" s="22">
        <v>600</v>
      </c>
      <c r="C13" s="18" t="s">
        <v>43</v>
      </c>
      <c r="D13" s="23" t="s">
        <v>44</v>
      </c>
      <c r="E13" s="3" t="s">
        <v>279</v>
      </c>
      <c r="F13" s="9" t="str">
        <f>IF(F11&lt;=0,"Doğal ısı yayılımı ön hesaba göre yeterli; ayrıca hotspot ve komponent limitlerini doğrulayın",IF(B11&gt;=B12,"Ortam sıcaklığı hedef iç sıcaklığa eşit/yüksek; fan yeterli olamaz",IF(OR(B18="Evet",B19="Evet"),"Isı atılması gerekiyor ve dış hava su/kir/kimyasal riski taşıyor","Isı atılması gerekiyor; ortam havası fan kullanımına elverişli")))</f>
        <v>Ortam sıcaklığı hedef iç sıcaklığa eşit/yüksek; fan yeterli olamaz</v>
      </c>
      <c r="G13" s="4"/>
      <c r="H13" s="4" t="s">
        <v>328</v>
      </c>
    </row>
    <row r="14" spans="1:8" ht="30" x14ac:dyDescent="0.25">
      <c r="A14" s="18" t="s">
        <v>45</v>
      </c>
      <c r="B14" s="22">
        <v>0</v>
      </c>
      <c r="C14" s="18" t="s">
        <v>43</v>
      </c>
      <c r="D14" s="23" t="s">
        <v>46</v>
      </c>
      <c r="E14" s="3" t="s">
        <v>329</v>
      </c>
      <c r="F14" s="9" t="str">
        <f>IF(F11&lt;=0,"Fan veya klima gerekmez",IF(B20="Evet","Ex sertifikalı özel iklimlendirme",IF(OR(B11&gt;=B12,B18="Evet",B19="Evet"),"Kapalı çevrim klima / hava-su eşanjörü",IF(B21="Evet","Termostatlı filtre fan","Kapalı çevrim çözüm tercih et"))))</f>
        <v>Kapalı çevrim klima / hava-su eşanjörü</v>
      </c>
      <c r="G14" s="4"/>
      <c r="H14" s="4" t="s">
        <v>330</v>
      </c>
    </row>
    <row r="15" spans="1:8" x14ac:dyDescent="0.25">
      <c r="A15" s="18" t="s">
        <v>47</v>
      </c>
      <c r="B15" s="24">
        <v>0.2</v>
      </c>
      <c r="C15" s="18" t="s">
        <v>48</v>
      </c>
      <c r="D15" s="23" t="s">
        <v>49</v>
      </c>
      <c r="E15" s="3" t="s">
        <v>331</v>
      </c>
      <c r="F15" s="36">
        <f>IF(OR(F11&lt;=0,AND(B11&lt;B12,B18&lt;&gt;"Evet",B19&lt;&gt;"Evet",B21="Evet")),0,CEILING(F11,100))</f>
        <v>900</v>
      </c>
      <c r="G15" s="4" t="s">
        <v>43</v>
      </c>
      <c r="H15" s="4" t="s">
        <v>332</v>
      </c>
    </row>
    <row r="16" spans="1:8" ht="30" x14ac:dyDescent="0.25">
      <c r="A16" s="18" t="s">
        <v>50</v>
      </c>
      <c r="B16" s="22">
        <v>10</v>
      </c>
      <c r="C16" s="18" t="s">
        <v>51</v>
      </c>
      <c r="D16" s="23" t="s">
        <v>52</v>
      </c>
      <c r="E16" s="3" t="s">
        <v>70</v>
      </c>
      <c r="F16" s="36">
        <f>IF(AND(F11&gt;0,B11&lt;B12,B18&lt;&gt;"Evet",B19&lt;&gt;"Evet",B21="Evet"),3.1*(B13+B14)/B16,0)</f>
        <v>0</v>
      </c>
      <c r="G16" s="4" t="s">
        <v>71</v>
      </c>
      <c r="H16" s="4" t="s">
        <v>333</v>
      </c>
    </row>
    <row r="17" spans="1:8" ht="30" x14ac:dyDescent="0.25">
      <c r="A17" s="18" t="s">
        <v>53</v>
      </c>
      <c r="B17" s="24">
        <v>80</v>
      </c>
      <c r="C17" s="18" t="s">
        <v>48</v>
      </c>
      <c r="D17" s="23" t="s">
        <v>54</v>
      </c>
      <c r="E17" s="3" t="s">
        <v>334</v>
      </c>
      <c r="F17" s="4" t="str">
        <f>IF(B19="Evet","AISI 316 + kaplı kondenser/borulama",IF(B18="Evet","Paslanmaz gövde; IP56/Type 4X sınıfını doğrula","Tam pano IP derecesini doğrula"))</f>
        <v>Paslanmaz gövde; IP56/Type 4X sınıfını doğrula</v>
      </c>
      <c r="G17" s="4"/>
      <c r="H17" s="4" t="s">
        <v>335</v>
      </c>
    </row>
    <row r="18" spans="1:8" ht="45" x14ac:dyDescent="0.25">
      <c r="A18" s="18" t="s">
        <v>55</v>
      </c>
      <c r="B18" s="22" t="s">
        <v>56</v>
      </c>
      <c r="C18" s="18"/>
      <c r="D18" s="23" t="s">
        <v>57</v>
      </c>
      <c r="E18" s="3" t="s">
        <v>336</v>
      </c>
      <c r="F18" s="4" t="str">
        <f>IF(B20="Evet","Standart fan/klima kullanmayın; IEC 60079 uzmanı gerekir",IF(B12&lt;F10,"Hedef sıcaklık çiğ noktası marjının altında; set değerini yükseltin veya higrostatlı ısıtıcı ekleyin","Çiğ noktası marjı uygun; saha testiyle doğrulayın"))</f>
        <v>Hedef sıcaklık çiğ noktası marjının altında; set değerini yükseltin veya higrostatlı ısıtıcı ekleyin</v>
      </c>
      <c r="G18" s="4"/>
      <c r="H18" s="4" t="s">
        <v>337</v>
      </c>
    </row>
    <row r="19" spans="1:8" x14ac:dyDescent="0.25">
      <c r="A19" s="18" t="s">
        <v>58</v>
      </c>
      <c r="B19" s="22" t="s">
        <v>59</v>
      </c>
      <c r="C19" s="18"/>
      <c r="D19" s="18" t="s">
        <v>57</v>
      </c>
      <c r="E19" s="13"/>
      <c r="F19" s="13"/>
      <c r="G19" s="13"/>
      <c r="H19" s="13"/>
    </row>
    <row r="20" spans="1:8" x14ac:dyDescent="0.25">
      <c r="A20" s="18" t="s">
        <v>60</v>
      </c>
      <c r="B20" s="22" t="s">
        <v>59</v>
      </c>
      <c r="C20" s="18"/>
      <c r="D20" s="18" t="s">
        <v>57</v>
      </c>
      <c r="E20" s="13"/>
      <c r="F20" s="13"/>
      <c r="G20" s="13"/>
      <c r="H20" s="13"/>
    </row>
    <row r="21" spans="1:8" x14ac:dyDescent="0.25">
      <c r="A21" s="18" t="s">
        <v>61</v>
      </c>
      <c r="B21" s="22" t="s">
        <v>59</v>
      </c>
      <c r="C21" s="18"/>
      <c r="D21" s="18" t="s">
        <v>57</v>
      </c>
      <c r="E21" s="13"/>
      <c r="F21" s="13"/>
      <c r="G21" s="13"/>
      <c r="H21" s="13"/>
    </row>
    <row r="22" spans="1:8" x14ac:dyDescent="0.25">
      <c r="A22" s="13"/>
      <c r="B22" s="13"/>
      <c r="C22" s="13"/>
      <c r="D22" s="13"/>
      <c r="E22" s="13"/>
      <c r="F22" s="13"/>
      <c r="G22" s="13"/>
      <c r="H22" s="13"/>
    </row>
    <row r="23" spans="1:8" x14ac:dyDescent="0.25">
      <c r="A23" s="14" t="s">
        <v>72</v>
      </c>
      <c r="B23" s="14"/>
      <c r="C23" s="14"/>
      <c r="D23" s="14"/>
      <c r="E23" s="14"/>
      <c r="F23" s="14"/>
      <c r="G23" s="14"/>
      <c r="H23" s="14"/>
    </row>
    <row r="24" spans="1:8" x14ac:dyDescent="0.25">
      <c r="A24" s="25" t="s">
        <v>73</v>
      </c>
      <c r="B24" s="25"/>
      <c r="C24" s="25"/>
      <c r="D24" s="25"/>
      <c r="E24" s="25"/>
      <c r="F24" s="25"/>
      <c r="G24" s="25"/>
      <c r="H24" s="25"/>
    </row>
    <row r="25" spans="1:8" x14ac:dyDescent="0.25">
      <c r="A25" s="25"/>
      <c r="B25" s="25"/>
      <c r="C25" s="25"/>
      <c r="D25" s="25"/>
      <c r="E25" s="25"/>
      <c r="F25" s="25"/>
      <c r="G25" s="25"/>
      <c r="H25" s="25"/>
    </row>
    <row r="26" spans="1:8" x14ac:dyDescent="0.25">
      <c r="A26" s="25"/>
      <c r="B26" s="25"/>
      <c r="C26" s="25"/>
      <c r="D26" s="25"/>
      <c r="E26" s="25"/>
      <c r="F26" s="25"/>
      <c r="G26" s="25"/>
      <c r="H26" s="25"/>
    </row>
    <row r="27" spans="1:8" x14ac:dyDescent="0.25">
      <c r="A27" s="25"/>
      <c r="B27" s="25"/>
      <c r="C27" s="25"/>
      <c r="D27" s="25"/>
      <c r="E27" s="25"/>
      <c r="F27" s="25"/>
      <c r="G27" s="25"/>
      <c r="H27" s="25"/>
    </row>
  </sheetData>
  <mergeCells count="6">
    <mergeCell ref="A1:H2"/>
    <mergeCell ref="A3:H4"/>
    <mergeCell ref="A6:D6"/>
    <mergeCell ref="E6:H6"/>
    <mergeCell ref="A23:H23"/>
    <mergeCell ref="A24:H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27A35-45BE-4A78-B9B6-E56E52119354}">
  <dimension ref="A1:D21"/>
  <sheetViews>
    <sheetView topLeftCell="A8" workbookViewId="0">
      <selection activeCell="B12" sqref="B12"/>
    </sheetView>
  </sheetViews>
  <sheetFormatPr defaultRowHeight="15" x14ac:dyDescent="0.25"/>
  <cols>
    <col min="1" max="1" width="21" customWidth="1"/>
    <col min="2" max="2" width="40" customWidth="1"/>
    <col min="3" max="3" width="47.5703125" customWidth="1"/>
    <col min="4" max="4" width="41.85546875" customWidth="1"/>
    <col min="5" max="7" width="34.28515625" customWidth="1"/>
    <col min="8" max="8" width="40" customWidth="1"/>
  </cols>
  <sheetData>
    <row r="1" spans="1:4" x14ac:dyDescent="0.25">
      <c r="A1" s="30" t="s">
        <v>74</v>
      </c>
      <c r="B1" s="30"/>
      <c r="C1" s="30"/>
      <c r="D1" s="30"/>
    </row>
    <row r="2" spans="1:4" x14ac:dyDescent="0.25">
      <c r="A2" s="30"/>
      <c r="B2" s="30"/>
      <c r="C2" s="30"/>
      <c r="D2" s="30"/>
    </row>
    <row r="3" spans="1:4" x14ac:dyDescent="0.25">
      <c r="A3" s="1" t="s">
        <v>75</v>
      </c>
      <c r="B3" s="1"/>
      <c r="C3" s="1"/>
      <c r="D3" s="1"/>
    </row>
    <row r="4" spans="1:4" x14ac:dyDescent="0.25">
      <c r="A4" s="1"/>
      <c r="B4" s="1"/>
      <c r="C4" s="1"/>
      <c r="D4" s="1"/>
    </row>
    <row r="6" spans="1:4" ht="15.75" x14ac:dyDescent="0.25">
      <c r="A6" s="31" t="s">
        <v>76</v>
      </c>
      <c r="B6" s="31"/>
      <c r="C6" s="31"/>
      <c r="D6" s="31"/>
    </row>
    <row r="7" spans="1:4" x14ac:dyDescent="0.25">
      <c r="A7" s="2" t="s">
        <v>223</v>
      </c>
      <c r="B7" s="2" t="s">
        <v>224</v>
      </c>
      <c r="C7" s="2" t="s">
        <v>225</v>
      </c>
      <c r="D7" s="2" t="s">
        <v>77</v>
      </c>
    </row>
    <row r="8" spans="1:4" ht="75" x14ac:dyDescent="0.25">
      <c r="A8" s="10" t="s">
        <v>226</v>
      </c>
      <c r="B8" s="4" t="s">
        <v>227</v>
      </c>
      <c r="C8" s="5" t="s">
        <v>228</v>
      </c>
      <c r="D8" s="33" t="s">
        <v>78</v>
      </c>
    </row>
    <row r="9" spans="1:4" ht="60" x14ac:dyDescent="0.25">
      <c r="A9" s="10" t="s">
        <v>229</v>
      </c>
      <c r="B9" s="4" t="s">
        <v>230</v>
      </c>
      <c r="C9" s="5" t="s">
        <v>231</v>
      </c>
      <c r="D9" s="33" t="s">
        <v>79</v>
      </c>
    </row>
    <row r="10" spans="1:4" ht="60" x14ac:dyDescent="0.25">
      <c r="A10" s="10" t="s">
        <v>232</v>
      </c>
      <c r="B10" s="4" t="s">
        <v>233</v>
      </c>
      <c r="C10" s="5" t="s">
        <v>234</v>
      </c>
      <c r="D10" s="33" t="s">
        <v>80</v>
      </c>
    </row>
    <row r="11" spans="1:4" ht="60" x14ac:dyDescent="0.25">
      <c r="A11" s="10" t="s">
        <v>235</v>
      </c>
      <c r="B11" s="4" t="s">
        <v>236</v>
      </c>
      <c r="C11" s="5" t="s">
        <v>237</v>
      </c>
      <c r="D11" s="33" t="s">
        <v>81</v>
      </c>
    </row>
    <row r="12" spans="1:4" ht="60" x14ac:dyDescent="0.25">
      <c r="A12" s="10" t="s">
        <v>238</v>
      </c>
      <c r="B12" s="4" t="s">
        <v>239</v>
      </c>
      <c r="C12" s="5" t="s">
        <v>240</v>
      </c>
      <c r="D12" s="33" t="s">
        <v>83</v>
      </c>
    </row>
    <row r="13" spans="1:4" ht="45" x14ac:dyDescent="0.25">
      <c r="A13" s="10" t="s">
        <v>241</v>
      </c>
      <c r="B13" s="4" t="s">
        <v>242</v>
      </c>
      <c r="C13" s="5" t="s">
        <v>243</v>
      </c>
      <c r="D13" s="33" t="s">
        <v>84</v>
      </c>
    </row>
    <row r="14" spans="1:4" ht="45" x14ac:dyDescent="0.25">
      <c r="A14" s="10" t="s">
        <v>244</v>
      </c>
      <c r="B14" s="4" t="s">
        <v>245</v>
      </c>
      <c r="C14" s="5" t="s">
        <v>246</v>
      </c>
      <c r="D14" s="33" t="s">
        <v>85</v>
      </c>
    </row>
    <row r="15" spans="1:4" ht="45" x14ac:dyDescent="0.25">
      <c r="A15" s="10" t="s">
        <v>247</v>
      </c>
      <c r="B15" s="4" t="s">
        <v>248</v>
      </c>
      <c r="C15" s="5" t="s">
        <v>249</v>
      </c>
      <c r="D15" s="33" t="s">
        <v>86</v>
      </c>
    </row>
    <row r="17" spans="1:4" ht="15.75" x14ac:dyDescent="0.25">
      <c r="A17" s="31" t="s">
        <v>87</v>
      </c>
      <c r="B17" s="31"/>
      <c r="C17" s="31"/>
      <c r="D17" s="31"/>
    </row>
    <row r="18" spans="1:4" x14ac:dyDescent="0.25">
      <c r="A18" s="32" t="s">
        <v>338</v>
      </c>
      <c r="B18" s="32"/>
      <c r="C18" s="32"/>
      <c r="D18" s="32"/>
    </row>
    <row r="19" spans="1:4" x14ac:dyDescent="0.25">
      <c r="A19" s="32"/>
      <c r="B19" s="32"/>
      <c r="C19" s="32"/>
      <c r="D19" s="32"/>
    </row>
    <row r="20" spans="1:4" x14ac:dyDescent="0.25">
      <c r="A20" s="32"/>
      <c r="B20" s="32"/>
      <c r="C20" s="32"/>
      <c r="D20" s="32"/>
    </row>
    <row r="21" spans="1:4" x14ac:dyDescent="0.25">
      <c r="A21" s="32"/>
      <c r="B21" s="32"/>
      <c r="C21" s="32"/>
      <c r="D21" s="32"/>
    </row>
  </sheetData>
  <mergeCells count="5">
    <mergeCell ref="A1:D2"/>
    <mergeCell ref="A3:D4"/>
    <mergeCell ref="A6:D6"/>
    <mergeCell ref="A17:D17"/>
    <mergeCell ref="A18:D21"/>
  </mergeCells>
  <hyperlinks>
    <hyperlink ref="D8" r:id="rId1" xr:uid="{E62CDCC0-21DE-4D82-BC3F-672ED02ADB32}"/>
    <hyperlink ref="D9" r:id="rId2" xr:uid="{A6DEE663-1B93-4CC8-8B40-174AAC4A88E9}"/>
    <hyperlink ref="D10" r:id="rId3" xr:uid="{A49802DD-8541-4221-84EA-12DCE9F42A89}"/>
    <hyperlink ref="D11" r:id="rId4" xr:uid="{6C11717B-5416-4245-904D-C7DBCD775DC9}"/>
    <hyperlink ref="D12" r:id="rId5" xr:uid="{CE8C18A9-359C-43FE-A0F5-5BC2206F0257}"/>
    <hyperlink ref="D15" r:id="rId6" xr:uid="{CBD30033-DDF3-4B01-997D-AB06C57D27D0}"/>
    <hyperlink ref="D14" r:id="rId7" xr:uid="{18509463-2451-441C-A7F8-A9A340A66BF9}"/>
    <hyperlink ref="D13" r:id="rId8" xr:uid="{B406A8F5-DBD0-43BD-968D-F7D4951F9B3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804FF-A8DA-40BC-A313-56AF30EC5205}">
  <dimension ref="A1:E21"/>
  <sheetViews>
    <sheetView workbookViewId="0">
      <selection sqref="A1:F2"/>
    </sheetView>
  </sheetViews>
  <sheetFormatPr defaultRowHeight="15" x14ac:dyDescent="0.25"/>
  <cols>
    <col min="1" max="1" width="22.85546875" customWidth="1"/>
    <col min="2" max="4" width="32.42578125" customWidth="1"/>
    <col min="5" max="5" width="34.28515625" customWidth="1"/>
    <col min="6" max="8" width="28.5703125" customWidth="1"/>
    <col min="9" max="9" width="40" customWidth="1"/>
  </cols>
  <sheetData>
    <row r="1" spans="1:5" x14ac:dyDescent="0.25">
      <c r="A1" s="30" t="s">
        <v>88</v>
      </c>
      <c r="B1" s="30"/>
      <c r="C1" s="30"/>
      <c r="D1" s="30"/>
      <c r="E1" s="30"/>
    </row>
    <row r="2" spans="1:5" x14ac:dyDescent="0.25">
      <c r="A2" s="30"/>
      <c r="B2" s="30"/>
      <c r="C2" s="30"/>
      <c r="D2" s="30"/>
      <c r="E2" s="30"/>
    </row>
    <row r="3" spans="1:5" x14ac:dyDescent="0.25">
      <c r="A3" s="1" t="s">
        <v>89</v>
      </c>
      <c r="B3" s="1"/>
      <c r="C3" s="1"/>
      <c r="D3" s="1"/>
      <c r="E3" s="1"/>
    </row>
    <row r="4" spans="1:5" x14ac:dyDescent="0.25">
      <c r="A4" s="1"/>
      <c r="B4" s="1"/>
      <c r="C4" s="1"/>
      <c r="D4" s="1"/>
      <c r="E4" s="1"/>
    </row>
    <row r="6" spans="1:5" ht="15.75" x14ac:dyDescent="0.25">
      <c r="A6" s="31" t="s">
        <v>90</v>
      </c>
      <c r="B6" s="31"/>
      <c r="C6" s="31"/>
      <c r="D6" s="31"/>
      <c r="E6" s="31"/>
    </row>
    <row r="7" spans="1:5" x14ac:dyDescent="0.25">
      <c r="A7" s="2" t="s">
        <v>250</v>
      </c>
      <c r="B7" s="2" t="s">
        <v>251</v>
      </c>
      <c r="C7" s="2" t="s">
        <v>252</v>
      </c>
      <c r="D7" s="2" t="s">
        <v>253</v>
      </c>
      <c r="E7" s="2" t="s">
        <v>91</v>
      </c>
    </row>
    <row r="8" spans="1:5" ht="60" x14ac:dyDescent="0.25">
      <c r="A8" s="10" t="s">
        <v>92</v>
      </c>
      <c r="B8" s="4" t="s">
        <v>254</v>
      </c>
      <c r="C8" s="4" t="s">
        <v>255</v>
      </c>
      <c r="D8" s="4" t="s">
        <v>256</v>
      </c>
      <c r="E8" s="4" t="s">
        <v>93</v>
      </c>
    </row>
    <row r="9" spans="1:5" ht="60" x14ac:dyDescent="0.25">
      <c r="A9" s="10" t="s">
        <v>94</v>
      </c>
      <c r="B9" s="4" t="s">
        <v>257</v>
      </c>
      <c r="C9" s="4" t="s">
        <v>258</v>
      </c>
      <c r="D9" s="4" t="s">
        <v>259</v>
      </c>
      <c r="E9" s="4" t="s">
        <v>95</v>
      </c>
    </row>
    <row r="10" spans="1:5" ht="60" x14ac:dyDescent="0.25">
      <c r="A10" s="10" t="s">
        <v>96</v>
      </c>
      <c r="B10" s="4" t="s">
        <v>260</v>
      </c>
      <c r="C10" s="4" t="s">
        <v>261</v>
      </c>
      <c r="D10" s="4" t="s">
        <v>262</v>
      </c>
      <c r="E10" s="4" t="s">
        <v>97</v>
      </c>
    </row>
    <row r="11" spans="1:5" ht="60" x14ac:dyDescent="0.25">
      <c r="A11" s="10" t="s">
        <v>98</v>
      </c>
      <c r="B11" s="4" t="s">
        <v>263</v>
      </c>
      <c r="C11" s="4" t="s">
        <v>264</v>
      </c>
      <c r="D11" s="4" t="s">
        <v>265</v>
      </c>
      <c r="E11" s="4" t="s">
        <v>99</v>
      </c>
    </row>
    <row r="12" spans="1:5" ht="60" x14ac:dyDescent="0.25">
      <c r="A12" s="10" t="s">
        <v>100</v>
      </c>
      <c r="B12" s="4" t="s">
        <v>266</v>
      </c>
      <c r="C12" s="4" t="s">
        <v>267</v>
      </c>
      <c r="D12" s="4" t="s">
        <v>268</v>
      </c>
      <c r="E12" s="4" t="s">
        <v>101</v>
      </c>
    </row>
    <row r="13" spans="1:5" ht="60" x14ac:dyDescent="0.25">
      <c r="A13" s="10" t="s">
        <v>102</v>
      </c>
      <c r="B13" s="4" t="s">
        <v>269</v>
      </c>
      <c r="C13" s="4" t="s">
        <v>270</v>
      </c>
      <c r="D13" s="4" t="s">
        <v>271</v>
      </c>
      <c r="E13" s="4" t="s">
        <v>103</v>
      </c>
    </row>
    <row r="15" spans="1:5" ht="15.75" x14ac:dyDescent="0.25">
      <c r="A15" s="31" t="s">
        <v>104</v>
      </c>
      <c r="B15" s="31"/>
      <c r="C15" s="31"/>
      <c r="D15" s="31"/>
      <c r="E15" s="31"/>
    </row>
    <row r="16" spans="1:5" x14ac:dyDescent="0.25">
      <c r="A16" s="2" t="s">
        <v>105</v>
      </c>
      <c r="B16" s="2" t="s">
        <v>106</v>
      </c>
      <c r="C16" s="2" t="s">
        <v>272</v>
      </c>
      <c r="D16" s="2" t="s">
        <v>107</v>
      </c>
    </row>
    <row r="17" spans="1:4" ht="30" x14ac:dyDescent="0.25">
      <c r="A17" s="4" t="s">
        <v>108</v>
      </c>
      <c r="B17" s="4" t="s">
        <v>109</v>
      </c>
      <c r="C17" s="4" t="s">
        <v>110</v>
      </c>
      <c r="D17" s="4" t="s">
        <v>111</v>
      </c>
    </row>
    <row r="18" spans="1:4" ht="30" x14ac:dyDescent="0.25">
      <c r="A18" s="4" t="s">
        <v>112</v>
      </c>
      <c r="B18" s="4" t="s">
        <v>113</v>
      </c>
      <c r="C18" s="4" t="s">
        <v>114</v>
      </c>
      <c r="D18" s="4" t="s">
        <v>115</v>
      </c>
    </row>
    <row r="19" spans="1:4" ht="30" x14ac:dyDescent="0.25">
      <c r="A19" s="4" t="s">
        <v>116</v>
      </c>
      <c r="B19" s="4" t="s">
        <v>117</v>
      </c>
      <c r="C19" s="4" t="s">
        <v>118</v>
      </c>
      <c r="D19" s="4" t="s">
        <v>119</v>
      </c>
    </row>
    <row r="20" spans="1:4" ht="30" x14ac:dyDescent="0.25">
      <c r="A20" s="4" t="s">
        <v>120</v>
      </c>
      <c r="B20" s="4" t="s">
        <v>121</v>
      </c>
      <c r="C20" s="4" t="s">
        <v>122</v>
      </c>
      <c r="D20" s="4" t="s">
        <v>123</v>
      </c>
    </row>
    <row r="21" spans="1:4" x14ac:dyDescent="0.25">
      <c r="A21" s="4" t="s">
        <v>124</v>
      </c>
      <c r="B21" s="4" t="s">
        <v>125</v>
      </c>
      <c r="C21" s="4" t="s">
        <v>126</v>
      </c>
      <c r="D21" s="4" t="s">
        <v>127</v>
      </c>
    </row>
  </sheetData>
  <mergeCells count="4">
    <mergeCell ref="A1:E2"/>
    <mergeCell ref="A3:E4"/>
    <mergeCell ref="A6:E6"/>
    <mergeCell ref="A15:E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71614-7CD1-431C-84E0-1D3EC3F25D2C}">
  <dimension ref="A1:H21"/>
  <sheetViews>
    <sheetView workbookViewId="0">
      <selection activeCell="F30" sqref="F30"/>
    </sheetView>
  </sheetViews>
  <sheetFormatPr defaultRowHeight="15" x14ac:dyDescent="0.25"/>
  <cols>
    <col min="1" max="1" width="13.28515625" customWidth="1"/>
    <col min="2" max="2" width="28.5703125" customWidth="1"/>
    <col min="3" max="3" width="30.42578125" customWidth="1"/>
    <col min="4" max="4" width="14.28515625" customWidth="1"/>
    <col min="5" max="5" width="11.42578125" customWidth="1"/>
    <col min="6" max="6" width="26.7109375" customWidth="1"/>
    <col min="7" max="7" width="11.42578125" customWidth="1"/>
    <col min="8" max="8" width="26.7109375" customWidth="1"/>
  </cols>
  <sheetData>
    <row r="1" spans="1:8" x14ac:dyDescent="0.25">
      <c r="A1" s="11" t="s">
        <v>128</v>
      </c>
      <c r="B1" s="11"/>
      <c r="C1" s="11"/>
      <c r="D1" s="11"/>
      <c r="E1" s="11"/>
      <c r="F1" s="11"/>
      <c r="G1" s="11"/>
      <c r="H1" s="11"/>
    </row>
    <row r="2" spans="1:8" x14ac:dyDescent="0.25">
      <c r="A2" s="11"/>
      <c r="B2" s="11"/>
      <c r="C2" s="11"/>
      <c r="D2" s="11"/>
      <c r="E2" s="11"/>
      <c r="F2" s="11"/>
      <c r="G2" s="11"/>
      <c r="H2" s="11"/>
    </row>
    <row r="3" spans="1:8" x14ac:dyDescent="0.25">
      <c r="A3" s="12" t="s">
        <v>129</v>
      </c>
      <c r="B3" s="12"/>
      <c r="C3" s="12"/>
      <c r="D3" s="12"/>
      <c r="E3" s="12"/>
      <c r="F3" s="12"/>
      <c r="G3" s="12"/>
      <c r="H3" s="12"/>
    </row>
    <row r="4" spans="1:8" x14ac:dyDescent="0.25">
      <c r="A4" s="12"/>
      <c r="B4" s="12"/>
      <c r="C4" s="12"/>
      <c r="D4" s="12"/>
      <c r="E4" s="12"/>
      <c r="F4" s="12"/>
      <c r="G4" s="12"/>
      <c r="H4" s="12"/>
    </row>
    <row r="5" spans="1:8" x14ac:dyDescent="0.25">
      <c r="A5" s="13"/>
      <c r="B5" s="13"/>
      <c r="C5" s="13"/>
      <c r="D5" s="13"/>
      <c r="E5" s="13"/>
      <c r="F5" s="13"/>
      <c r="G5" s="13"/>
      <c r="H5" s="13"/>
    </row>
    <row r="6" spans="1:8" x14ac:dyDescent="0.25">
      <c r="A6" s="16" t="s">
        <v>130</v>
      </c>
      <c r="B6" s="16" t="s">
        <v>23</v>
      </c>
      <c r="C6" s="16" t="s">
        <v>131</v>
      </c>
      <c r="D6" s="16" t="s">
        <v>132</v>
      </c>
      <c r="E6" s="16" t="s">
        <v>133</v>
      </c>
      <c r="F6" s="16" t="s">
        <v>134</v>
      </c>
      <c r="G6" s="16" t="s">
        <v>135</v>
      </c>
      <c r="H6" s="16" t="s">
        <v>31</v>
      </c>
    </row>
    <row r="7" spans="1:8" ht="27" x14ac:dyDescent="0.25">
      <c r="A7" s="19" t="s">
        <v>136</v>
      </c>
      <c r="B7" s="19" t="s">
        <v>137</v>
      </c>
      <c r="C7" s="19" t="s">
        <v>138</v>
      </c>
      <c r="D7" s="19" t="s">
        <v>139</v>
      </c>
      <c r="E7" s="20" t="s">
        <v>140</v>
      </c>
      <c r="F7" s="19"/>
      <c r="G7" s="26" t="s">
        <v>141</v>
      </c>
      <c r="H7" s="19"/>
    </row>
    <row r="8" spans="1:8" ht="27" x14ac:dyDescent="0.25">
      <c r="A8" s="19" t="s">
        <v>136</v>
      </c>
      <c r="B8" s="19" t="s">
        <v>142</v>
      </c>
      <c r="C8" s="19" t="s">
        <v>143</v>
      </c>
      <c r="D8" s="19" t="s">
        <v>144</v>
      </c>
      <c r="E8" s="20" t="s">
        <v>140</v>
      </c>
      <c r="F8" s="19"/>
      <c r="G8" s="26" t="s">
        <v>141</v>
      </c>
      <c r="H8" s="19"/>
    </row>
    <row r="9" spans="1:8" ht="27" x14ac:dyDescent="0.25">
      <c r="A9" s="19" t="s">
        <v>136</v>
      </c>
      <c r="B9" s="19" t="s">
        <v>145</v>
      </c>
      <c r="C9" s="19" t="s">
        <v>146</v>
      </c>
      <c r="D9" s="19" t="s">
        <v>147</v>
      </c>
      <c r="E9" s="20" t="s">
        <v>140</v>
      </c>
      <c r="F9" s="19"/>
      <c r="G9" s="26" t="s">
        <v>141</v>
      </c>
      <c r="H9" s="19"/>
    </row>
    <row r="10" spans="1:8" ht="27" x14ac:dyDescent="0.25">
      <c r="A10" s="19" t="s">
        <v>148</v>
      </c>
      <c r="B10" s="19" t="s">
        <v>149</v>
      </c>
      <c r="C10" s="19" t="s">
        <v>150</v>
      </c>
      <c r="D10" s="19" t="s">
        <v>139</v>
      </c>
      <c r="E10" s="20" t="s">
        <v>140</v>
      </c>
      <c r="F10" s="19"/>
      <c r="G10" s="26" t="s">
        <v>141</v>
      </c>
      <c r="H10" s="19"/>
    </row>
    <row r="11" spans="1:8" x14ac:dyDescent="0.25">
      <c r="A11" s="19" t="s">
        <v>148</v>
      </c>
      <c r="B11" s="19" t="s">
        <v>151</v>
      </c>
      <c r="C11" s="19" t="s">
        <v>152</v>
      </c>
      <c r="D11" s="19" t="s">
        <v>153</v>
      </c>
      <c r="E11" s="20" t="s">
        <v>140</v>
      </c>
      <c r="F11" s="19"/>
      <c r="G11" s="26" t="s">
        <v>141</v>
      </c>
      <c r="H11" s="19"/>
    </row>
    <row r="12" spans="1:8" ht="27" x14ac:dyDescent="0.25">
      <c r="A12" s="19" t="s">
        <v>154</v>
      </c>
      <c r="B12" s="19" t="s">
        <v>155</v>
      </c>
      <c r="C12" s="19" t="s">
        <v>156</v>
      </c>
      <c r="D12" s="19" t="s">
        <v>139</v>
      </c>
      <c r="E12" s="20" t="s">
        <v>140</v>
      </c>
      <c r="F12" s="19"/>
      <c r="G12" s="26" t="s">
        <v>141</v>
      </c>
      <c r="H12" s="19"/>
    </row>
    <row r="13" spans="1:8" ht="27" x14ac:dyDescent="0.25">
      <c r="A13" s="19" t="s">
        <v>157</v>
      </c>
      <c r="B13" s="19" t="s">
        <v>158</v>
      </c>
      <c r="C13" s="19" t="s">
        <v>159</v>
      </c>
      <c r="D13" s="19" t="s">
        <v>160</v>
      </c>
      <c r="E13" s="20" t="s">
        <v>140</v>
      </c>
      <c r="F13" s="19"/>
      <c r="G13" s="26" t="s">
        <v>141</v>
      </c>
      <c r="H13" s="19"/>
    </row>
    <row r="14" spans="1:8" x14ac:dyDescent="0.25">
      <c r="A14" s="19" t="s">
        <v>161</v>
      </c>
      <c r="B14" s="19" t="s">
        <v>162</v>
      </c>
      <c r="C14" s="19" t="s">
        <v>163</v>
      </c>
      <c r="D14" s="19" t="s">
        <v>164</v>
      </c>
      <c r="E14" s="20" t="s">
        <v>140</v>
      </c>
      <c r="F14" s="19"/>
      <c r="G14" s="26" t="s">
        <v>141</v>
      </c>
      <c r="H14" s="19"/>
    </row>
    <row r="15" spans="1:8" ht="27" x14ac:dyDescent="0.25">
      <c r="A15" s="19" t="s">
        <v>165</v>
      </c>
      <c r="B15" s="19" t="s">
        <v>166</v>
      </c>
      <c r="C15" s="19" t="s">
        <v>167</v>
      </c>
      <c r="D15" s="19" t="s">
        <v>165</v>
      </c>
      <c r="E15" s="20" t="s">
        <v>140</v>
      </c>
      <c r="F15" s="19"/>
      <c r="G15" s="26" t="s">
        <v>168</v>
      </c>
      <c r="H15" s="19"/>
    </row>
    <row r="16" spans="1:8" x14ac:dyDescent="0.25">
      <c r="A16" s="19" t="s">
        <v>165</v>
      </c>
      <c r="B16" s="19" t="s">
        <v>169</v>
      </c>
      <c r="C16" s="19" t="s">
        <v>170</v>
      </c>
      <c r="D16" s="19" t="s">
        <v>165</v>
      </c>
      <c r="E16" s="20" t="s">
        <v>140</v>
      </c>
      <c r="F16" s="19"/>
      <c r="G16" s="26" t="s">
        <v>168</v>
      </c>
      <c r="H16" s="19"/>
    </row>
    <row r="17" spans="1:8" ht="27" x14ac:dyDescent="0.25">
      <c r="A17" s="19" t="s">
        <v>171</v>
      </c>
      <c r="B17" s="19" t="s">
        <v>172</v>
      </c>
      <c r="C17" s="19" t="s">
        <v>173</v>
      </c>
      <c r="D17" s="19" t="s">
        <v>139</v>
      </c>
      <c r="E17" s="20" t="s">
        <v>140</v>
      </c>
      <c r="F17" s="19"/>
      <c r="G17" s="26" t="s">
        <v>141</v>
      </c>
      <c r="H17" s="19"/>
    </row>
    <row r="18" spans="1:8" x14ac:dyDescent="0.25">
      <c r="A18" s="19" t="s">
        <v>174</v>
      </c>
      <c r="B18" s="19" t="s">
        <v>175</v>
      </c>
      <c r="C18" s="19" t="s">
        <v>176</v>
      </c>
      <c r="D18" s="19" t="s">
        <v>160</v>
      </c>
      <c r="E18" s="20" t="s">
        <v>140</v>
      </c>
      <c r="F18" s="19"/>
      <c r="G18" s="26" t="s">
        <v>141</v>
      </c>
      <c r="H18" s="19"/>
    </row>
    <row r="19" spans="1:8" ht="27" x14ac:dyDescent="0.25">
      <c r="A19" s="19" t="s">
        <v>174</v>
      </c>
      <c r="B19" s="19" t="s">
        <v>177</v>
      </c>
      <c r="C19" s="19" t="s">
        <v>178</v>
      </c>
      <c r="D19" s="19" t="s">
        <v>160</v>
      </c>
      <c r="E19" s="20" t="s">
        <v>140</v>
      </c>
      <c r="F19" s="19"/>
      <c r="G19" s="26" t="s">
        <v>141</v>
      </c>
      <c r="H19" s="19"/>
    </row>
    <row r="20" spans="1:8" x14ac:dyDescent="0.25">
      <c r="A20" s="19" t="s">
        <v>179</v>
      </c>
      <c r="B20" s="19" t="s">
        <v>180</v>
      </c>
      <c r="C20" s="19" t="s">
        <v>181</v>
      </c>
      <c r="D20" s="19" t="s">
        <v>179</v>
      </c>
      <c r="E20" s="20" t="s">
        <v>140</v>
      </c>
      <c r="F20" s="19"/>
      <c r="G20" s="26" t="s">
        <v>168</v>
      </c>
      <c r="H20" s="19"/>
    </row>
    <row r="21" spans="1:8" x14ac:dyDescent="0.25">
      <c r="A21" s="19" t="s">
        <v>182</v>
      </c>
      <c r="B21" s="19" t="s">
        <v>183</v>
      </c>
      <c r="C21" s="19" t="s">
        <v>184</v>
      </c>
      <c r="D21" s="19" t="s">
        <v>185</v>
      </c>
      <c r="E21" s="20" t="s">
        <v>140</v>
      </c>
      <c r="F21" s="19"/>
      <c r="G21" s="26" t="s">
        <v>186</v>
      </c>
      <c r="H21" s="19"/>
    </row>
  </sheetData>
  <mergeCells count="2">
    <mergeCell ref="A1:H2"/>
    <mergeCell ref="A3:H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8586B-145D-44BC-AABE-184245D0969B}">
  <dimension ref="A1:D22"/>
  <sheetViews>
    <sheetView workbookViewId="0">
      <selection sqref="A1:H2"/>
    </sheetView>
  </sheetViews>
  <sheetFormatPr defaultRowHeight="15" x14ac:dyDescent="0.25"/>
  <cols>
    <col min="1" max="1" width="28.5703125" customWidth="1"/>
    <col min="2" max="2" width="17.140625" customWidth="1"/>
    <col min="3" max="3" width="40" customWidth="1"/>
    <col min="4" max="4" width="53.28515625" customWidth="1"/>
  </cols>
  <sheetData>
    <row r="1" spans="1:4" x14ac:dyDescent="0.25">
      <c r="A1" s="11" t="s">
        <v>187</v>
      </c>
      <c r="B1" s="11"/>
      <c r="C1" s="11"/>
      <c r="D1" s="11"/>
    </row>
    <row r="2" spans="1:4" x14ac:dyDescent="0.25">
      <c r="A2" s="11"/>
      <c r="B2" s="11"/>
      <c r="C2" s="11"/>
      <c r="D2" s="11"/>
    </row>
    <row r="3" spans="1:4" x14ac:dyDescent="0.25">
      <c r="A3" s="12" t="s">
        <v>188</v>
      </c>
      <c r="B3" s="12"/>
      <c r="C3" s="12"/>
      <c r="D3" s="12"/>
    </row>
    <row r="4" spans="1:4" x14ac:dyDescent="0.25">
      <c r="A4" s="12"/>
      <c r="B4" s="12"/>
      <c r="C4" s="12"/>
      <c r="D4" s="12"/>
    </row>
    <row r="5" spans="1:4" x14ac:dyDescent="0.25">
      <c r="A5" s="13"/>
      <c r="B5" s="13"/>
      <c r="C5" s="13"/>
      <c r="D5" s="13"/>
    </row>
    <row r="6" spans="1:4" x14ac:dyDescent="0.25">
      <c r="A6" s="16" t="s">
        <v>91</v>
      </c>
      <c r="B6" s="16" t="s">
        <v>189</v>
      </c>
      <c r="C6" s="16" t="s">
        <v>190</v>
      </c>
      <c r="D6" s="16" t="s">
        <v>191</v>
      </c>
    </row>
    <row r="7" spans="1:4" ht="27" x14ac:dyDescent="0.25">
      <c r="A7" s="19" t="s">
        <v>192</v>
      </c>
      <c r="B7" s="19" t="s">
        <v>193</v>
      </c>
      <c r="C7" s="19" t="s">
        <v>194</v>
      </c>
      <c r="D7" s="19" t="s">
        <v>78</v>
      </c>
    </row>
    <row r="8" spans="1:4" x14ac:dyDescent="0.25">
      <c r="A8" s="19" t="s">
        <v>195</v>
      </c>
      <c r="B8" s="19" t="s">
        <v>193</v>
      </c>
      <c r="C8" s="19" t="s">
        <v>196</v>
      </c>
      <c r="D8" s="19" t="s">
        <v>79</v>
      </c>
    </row>
    <row r="9" spans="1:4" x14ac:dyDescent="0.25">
      <c r="A9" s="19" t="s">
        <v>197</v>
      </c>
      <c r="B9" s="19" t="s">
        <v>193</v>
      </c>
      <c r="C9" s="19" t="s">
        <v>198</v>
      </c>
      <c r="D9" s="19" t="s">
        <v>81</v>
      </c>
    </row>
    <row r="10" spans="1:4" x14ac:dyDescent="0.25">
      <c r="A10" s="19" t="s">
        <v>82</v>
      </c>
      <c r="B10" s="19" t="s">
        <v>193</v>
      </c>
      <c r="C10" s="19" t="s">
        <v>199</v>
      </c>
      <c r="D10" s="19" t="s">
        <v>83</v>
      </c>
    </row>
    <row r="11" spans="1:4" x14ac:dyDescent="0.25">
      <c r="A11" s="19" t="s">
        <v>200</v>
      </c>
      <c r="B11" s="19" t="s">
        <v>201</v>
      </c>
      <c r="C11" s="19" t="s">
        <v>202</v>
      </c>
      <c r="D11" s="19" t="s">
        <v>203</v>
      </c>
    </row>
    <row r="12" spans="1:4" x14ac:dyDescent="0.25">
      <c r="A12" s="19" t="s">
        <v>204</v>
      </c>
      <c r="B12" s="19" t="s">
        <v>193</v>
      </c>
      <c r="C12" s="19" t="s">
        <v>205</v>
      </c>
      <c r="D12" s="19" t="s">
        <v>84</v>
      </c>
    </row>
    <row r="13" spans="1:4" x14ac:dyDescent="0.25">
      <c r="A13" s="19" t="s">
        <v>206</v>
      </c>
      <c r="B13" s="19" t="s">
        <v>193</v>
      </c>
      <c r="C13" s="19" t="s">
        <v>207</v>
      </c>
      <c r="D13" s="19" t="s">
        <v>85</v>
      </c>
    </row>
    <row r="14" spans="1:4" x14ac:dyDescent="0.25">
      <c r="A14" s="19" t="s">
        <v>208</v>
      </c>
      <c r="B14" s="19" t="s">
        <v>193</v>
      </c>
      <c r="C14" s="19" t="s">
        <v>209</v>
      </c>
      <c r="D14" s="19" t="s">
        <v>86</v>
      </c>
    </row>
    <row r="15" spans="1:4" x14ac:dyDescent="0.25">
      <c r="A15" s="19" t="s">
        <v>210</v>
      </c>
      <c r="B15" s="19" t="s">
        <v>211</v>
      </c>
      <c r="C15" s="19" t="s">
        <v>212</v>
      </c>
      <c r="D15" s="19" t="s">
        <v>213</v>
      </c>
    </row>
    <row r="16" spans="1:4" x14ac:dyDescent="0.25">
      <c r="A16" s="19" t="s">
        <v>92</v>
      </c>
      <c r="B16" s="19" t="s">
        <v>211</v>
      </c>
      <c r="C16" s="19" t="s">
        <v>214</v>
      </c>
      <c r="D16" s="19" t="s">
        <v>93</v>
      </c>
    </row>
    <row r="17" spans="1:4" ht="40.5" x14ac:dyDescent="0.25">
      <c r="A17" s="19" t="s">
        <v>121</v>
      </c>
      <c r="B17" s="19" t="s">
        <v>211</v>
      </c>
      <c r="C17" s="19" t="s">
        <v>215</v>
      </c>
      <c r="D17" s="19" t="s">
        <v>95</v>
      </c>
    </row>
    <row r="18" spans="1:4" ht="27" x14ac:dyDescent="0.25">
      <c r="A18" s="19" t="s">
        <v>216</v>
      </c>
      <c r="B18" s="19" t="s">
        <v>211</v>
      </c>
      <c r="C18" s="19" t="s">
        <v>217</v>
      </c>
      <c r="D18" s="19" t="s">
        <v>218</v>
      </c>
    </row>
    <row r="19" spans="1:4" ht="40.5" x14ac:dyDescent="0.25">
      <c r="A19" s="19" t="s">
        <v>96</v>
      </c>
      <c r="B19" s="19" t="s">
        <v>211</v>
      </c>
      <c r="C19" s="19" t="s">
        <v>219</v>
      </c>
      <c r="D19" s="19" t="s">
        <v>97</v>
      </c>
    </row>
    <row r="20" spans="1:4" ht="40.5" x14ac:dyDescent="0.25">
      <c r="A20" s="19" t="s">
        <v>98</v>
      </c>
      <c r="B20" s="19" t="s">
        <v>211</v>
      </c>
      <c r="C20" s="19" t="s">
        <v>220</v>
      </c>
      <c r="D20" s="19" t="s">
        <v>99</v>
      </c>
    </row>
    <row r="21" spans="1:4" x14ac:dyDescent="0.25">
      <c r="A21" s="19" t="s">
        <v>100</v>
      </c>
      <c r="B21" s="19" t="s">
        <v>211</v>
      </c>
      <c r="C21" s="19" t="s">
        <v>221</v>
      </c>
      <c r="D21" s="19" t="s">
        <v>101</v>
      </c>
    </row>
    <row r="22" spans="1:4" ht="27" x14ac:dyDescent="0.25">
      <c r="A22" s="19" t="s">
        <v>102</v>
      </c>
      <c r="B22" s="19" t="s">
        <v>211</v>
      </c>
      <c r="C22" s="19" t="s">
        <v>222</v>
      </c>
      <c r="D22" s="19" t="s">
        <v>103</v>
      </c>
    </row>
  </sheetData>
  <mergeCells count="2">
    <mergeCell ref="A1:D2"/>
    <mergeCell ref="A3:D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09BB-FAE2-438D-96BE-BB8D4B7FD5DE}">
  <dimension ref="B2:N24"/>
  <sheetViews>
    <sheetView tabSelected="1" workbookViewId="0">
      <selection activeCell="Q13" sqref="Q13"/>
    </sheetView>
  </sheetViews>
  <sheetFormatPr defaultRowHeight="15" x14ac:dyDescent="0.25"/>
  <sheetData>
    <row r="2" spans="2:14" x14ac:dyDescent="0.25">
      <c r="B2" s="37" t="s">
        <v>339</v>
      </c>
      <c r="C2" s="37"/>
      <c r="D2" s="37"/>
      <c r="E2" s="37"/>
      <c r="F2" s="37"/>
      <c r="G2" s="37"/>
      <c r="H2" s="37"/>
      <c r="I2" s="37"/>
      <c r="J2" s="37"/>
      <c r="K2" s="37"/>
      <c r="L2" s="37"/>
      <c r="M2" s="37"/>
      <c r="N2" s="37"/>
    </row>
    <row r="3" spans="2:14" x14ac:dyDescent="0.25">
      <c r="B3" s="37"/>
      <c r="C3" s="37"/>
      <c r="D3" s="37"/>
      <c r="E3" s="37"/>
      <c r="F3" s="37"/>
      <c r="G3" s="37"/>
      <c r="H3" s="37"/>
      <c r="I3" s="37"/>
      <c r="J3" s="37"/>
      <c r="K3" s="37"/>
      <c r="L3" s="37"/>
      <c r="M3" s="37"/>
      <c r="N3" s="37"/>
    </row>
    <row r="4" spans="2:14" x14ac:dyDescent="0.25">
      <c r="B4" s="37"/>
      <c r="C4" s="37"/>
      <c r="D4" s="37"/>
      <c r="E4" s="37"/>
      <c r="F4" s="37"/>
      <c r="G4" s="37"/>
      <c r="H4" s="37"/>
      <c r="I4" s="37"/>
      <c r="J4" s="37"/>
      <c r="K4" s="37"/>
      <c r="L4" s="37"/>
      <c r="M4" s="37"/>
      <c r="N4" s="37"/>
    </row>
    <row r="5" spans="2:14" x14ac:dyDescent="0.25">
      <c r="B5" s="37"/>
      <c r="C5" s="37"/>
      <c r="D5" s="37"/>
      <c r="E5" s="37"/>
      <c r="F5" s="37"/>
      <c r="G5" s="37"/>
      <c r="H5" s="37"/>
      <c r="I5" s="37"/>
      <c r="J5" s="37"/>
      <c r="K5" s="37"/>
      <c r="L5" s="37"/>
      <c r="M5" s="37"/>
      <c r="N5" s="37"/>
    </row>
    <row r="6" spans="2:14" x14ac:dyDescent="0.25">
      <c r="B6" s="37"/>
      <c r="C6" s="37"/>
      <c r="D6" s="37"/>
      <c r="E6" s="37"/>
      <c r="F6" s="37"/>
      <c r="G6" s="37"/>
      <c r="H6" s="37"/>
      <c r="I6" s="37"/>
      <c r="J6" s="37"/>
      <c r="K6" s="37"/>
      <c r="L6" s="37"/>
      <c r="M6" s="37"/>
      <c r="N6" s="37"/>
    </row>
    <row r="7" spans="2:14" x14ac:dyDescent="0.25">
      <c r="B7" s="37"/>
      <c r="C7" s="37"/>
      <c r="D7" s="37"/>
      <c r="E7" s="37"/>
      <c r="F7" s="37"/>
      <c r="G7" s="37"/>
      <c r="H7" s="37"/>
      <c r="I7" s="37"/>
      <c r="J7" s="37"/>
      <c r="K7" s="37"/>
      <c r="L7" s="37"/>
      <c r="M7" s="37"/>
      <c r="N7" s="37"/>
    </row>
    <row r="8" spans="2:14" x14ac:dyDescent="0.25">
      <c r="B8" s="37"/>
      <c r="C8" s="37"/>
      <c r="D8" s="37"/>
      <c r="E8" s="37"/>
      <c r="F8" s="37"/>
      <c r="G8" s="37"/>
      <c r="H8" s="37"/>
      <c r="I8" s="37"/>
      <c r="J8" s="37"/>
      <c r="K8" s="37"/>
      <c r="L8" s="37"/>
      <c r="M8" s="37"/>
      <c r="N8" s="37"/>
    </row>
    <row r="9" spans="2:14" x14ac:dyDescent="0.25">
      <c r="B9" s="37"/>
      <c r="C9" s="37"/>
      <c r="D9" s="37"/>
      <c r="E9" s="37"/>
      <c r="F9" s="37"/>
      <c r="G9" s="37"/>
      <c r="H9" s="37"/>
      <c r="I9" s="37"/>
      <c r="J9" s="37"/>
      <c r="K9" s="37"/>
      <c r="L9" s="37"/>
      <c r="M9" s="37"/>
      <c r="N9" s="37"/>
    </row>
    <row r="10" spans="2:14" x14ac:dyDescent="0.25">
      <c r="B10" s="37"/>
      <c r="C10" s="37"/>
      <c r="D10" s="37"/>
      <c r="E10" s="37"/>
      <c r="F10" s="37"/>
      <c r="G10" s="37"/>
      <c r="H10" s="37"/>
      <c r="I10" s="37"/>
      <c r="J10" s="37"/>
      <c r="K10" s="37"/>
      <c r="L10" s="37"/>
      <c r="M10" s="37"/>
      <c r="N10" s="37"/>
    </row>
    <row r="11" spans="2:14" x14ac:dyDescent="0.25">
      <c r="B11" s="37"/>
      <c r="C11" s="37"/>
      <c r="D11" s="37"/>
      <c r="E11" s="37"/>
      <c r="F11" s="37"/>
      <c r="G11" s="37"/>
      <c r="H11" s="37"/>
      <c r="I11" s="37"/>
      <c r="J11" s="37"/>
      <c r="K11" s="37"/>
      <c r="L11" s="37"/>
      <c r="M11" s="37"/>
      <c r="N11" s="37"/>
    </row>
    <row r="12" spans="2:14" x14ac:dyDescent="0.25">
      <c r="B12" s="37"/>
      <c r="C12" s="37"/>
      <c r="D12" s="37"/>
      <c r="E12" s="37"/>
      <c r="F12" s="37"/>
      <c r="G12" s="37"/>
      <c r="H12" s="37"/>
      <c r="I12" s="37"/>
      <c r="J12" s="37"/>
      <c r="K12" s="37"/>
      <c r="L12" s="37"/>
      <c r="M12" s="37"/>
      <c r="N12" s="37"/>
    </row>
    <row r="13" spans="2:14" x14ac:dyDescent="0.25">
      <c r="B13" s="37"/>
      <c r="C13" s="37"/>
      <c r="D13" s="37"/>
      <c r="E13" s="37"/>
      <c r="F13" s="37"/>
      <c r="G13" s="37"/>
      <c r="H13" s="37"/>
      <c r="I13" s="37"/>
      <c r="J13" s="37"/>
      <c r="K13" s="37"/>
      <c r="L13" s="37"/>
      <c r="M13" s="37"/>
      <c r="N13" s="37"/>
    </row>
    <row r="14" spans="2:14" x14ac:dyDescent="0.25">
      <c r="B14" s="37"/>
      <c r="C14" s="37"/>
      <c r="D14" s="37"/>
      <c r="E14" s="37"/>
      <c r="F14" s="37"/>
      <c r="G14" s="37"/>
      <c r="H14" s="37"/>
      <c r="I14" s="37"/>
      <c r="J14" s="37"/>
      <c r="K14" s="37"/>
      <c r="L14" s="37"/>
      <c r="M14" s="37"/>
      <c r="N14" s="37"/>
    </row>
    <row r="15" spans="2:14" x14ac:dyDescent="0.25">
      <c r="B15" s="37"/>
      <c r="C15" s="37"/>
      <c r="D15" s="37"/>
      <c r="E15" s="37"/>
      <c r="F15" s="37"/>
      <c r="G15" s="37"/>
      <c r="H15" s="37"/>
      <c r="I15" s="37"/>
      <c r="J15" s="37"/>
      <c r="K15" s="37"/>
      <c r="L15" s="37"/>
      <c r="M15" s="37"/>
      <c r="N15" s="37"/>
    </row>
    <row r="16" spans="2:14" x14ac:dyDescent="0.25">
      <c r="B16" s="37"/>
      <c r="C16" s="37"/>
      <c r="D16" s="37"/>
      <c r="E16" s="37"/>
      <c r="F16" s="37"/>
      <c r="G16" s="37"/>
      <c r="H16" s="37"/>
      <c r="I16" s="37"/>
      <c r="J16" s="37"/>
      <c r="K16" s="37"/>
      <c r="L16" s="37"/>
      <c r="M16" s="37"/>
      <c r="N16" s="37"/>
    </row>
    <row r="17" spans="2:14" x14ac:dyDescent="0.25">
      <c r="B17" s="37"/>
      <c r="C17" s="37"/>
      <c r="D17" s="37"/>
      <c r="E17" s="37"/>
      <c r="F17" s="37"/>
      <c r="G17" s="37"/>
      <c r="H17" s="37"/>
      <c r="I17" s="37"/>
      <c r="J17" s="37"/>
      <c r="K17" s="37"/>
      <c r="L17" s="37"/>
      <c r="M17" s="37"/>
      <c r="N17" s="37"/>
    </row>
    <row r="18" spans="2:14" x14ac:dyDescent="0.25">
      <c r="B18" s="37"/>
      <c r="C18" s="37"/>
      <c r="D18" s="37"/>
      <c r="E18" s="37"/>
      <c r="F18" s="37"/>
      <c r="G18" s="37"/>
      <c r="H18" s="37"/>
      <c r="I18" s="37"/>
      <c r="J18" s="37"/>
      <c r="K18" s="37"/>
      <c r="L18" s="37"/>
      <c r="M18" s="37"/>
      <c r="N18" s="37"/>
    </row>
    <row r="19" spans="2:14" x14ac:dyDescent="0.25">
      <c r="B19" s="37"/>
      <c r="C19" s="37"/>
      <c r="D19" s="37"/>
      <c r="E19" s="37"/>
      <c r="F19" s="37"/>
      <c r="G19" s="37"/>
      <c r="H19" s="37"/>
      <c r="I19" s="37"/>
      <c r="J19" s="37"/>
      <c r="K19" s="37"/>
      <c r="L19" s="37"/>
      <c r="M19" s="37"/>
      <c r="N19" s="37"/>
    </row>
    <row r="20" spans="2:14" x14ac:dyDescent="0.25">
      <c r="B20" s="37"/>
      <c r="C20" s="37"/>
      <c r="D20" s="37"/>
      <c r="E20" s="37"/>
      <c r="F20" s="37"/>
      <c r="G20" s="37"/>
      <c r="H20" s="37"/>
      <c r="I20" s="37"/>
      <c r="J20" s="37"/>
      <c r="K20" s="37"/>
      <c r="L20" s="37"/>
      <c r="M20" s="37"/>
      <c r="N20" s="37"/>
    </row>
    <row r="21" spans="2:14" x14ac:dyDescent="0.25">
      <c r="B21" s="37"/>
      <c r="C21" s="37"/>
      <c r="D21" s="37"/>
      <c r="E21" s="37"/>
      <c r="F21" s="37"/>
      <c r="G21" s="37"/>
      <c r="H21" s="37"/>
      <c r="I21" s="37"/>
      <c r="J21" s="37"/>
      <c r="K21" s="37"/>
      <c r="L21" s="37"/>
      <c r="M21" s="37"/>
      <c r="N21" s="37"/>
    </row>
    <row r="22" spans="2:14" x14ac:dyDescent="0.25">
      <c r="B22" s="37"/>
      <c r="C22" s="37"/>
      <c r="D22" s="37"/>
      <c r="E22" s="37"/>
      <c r="F22" s="37"/>
      <c r="G22" s="37"/>
      <c r="H22" s="37"/>
      <c r="I22" s="37"/>
      <c r="J22" s="37"/>
      <c r="K22" s="37"/>
      <c r="L22" s="37"/>
      <c r="M22" s="37"/>
      <c r="N22" s="37"/>
    </row>
    <row r="23" spans="2:14" x14ac:dyDescent="0.25">
      <c r="B23" s="37"/>
      <c r="C23" s="37"/>
      <c r="D23" s="37"/>
      <c r="E23" s="37"/>
      <c r="F23" s="37"/>
      <c r="G23" s="37"/>
      <c r="H23" s="37"/>
      <c r="I23" s="37"/>
      <c r="J23" s="37"/>
      <c r="K23" s="37"/>
      <c r="L23" s="37"/>
      <c r="M23" s="37"/>
      <c r="N23" s="37"/>
    </row>
    <row r="24" spans="2:14" x14ac:dyDescent="0.25">
      <c r="B24" s="37"/>
      <c r="C24" s="37"/>
      <c r="D24" s="37"/>
      <c r="E24" s="37"/>
      <c r="F24" s="37"/>
      <c r="G24" s="37"/>
      <c r="H24" s="37"/>
      <c r="I24" s="37"/>
      <c r="J24" s="37"/>
      <c r="K24" s="37"/>
      <c r="L24" s="37"/>
      <c r="M24" s="37"/>
      <c r="N24" s="37"/>
    </row>
  </sheetData>
  <mergeCells count="1">
    <mergeCell ref="B2:N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8</vt:i4>
      </vt:variant>
    </vt:vector>
  </HeadingPairs>
  <TitlesOfParts>
    <vt:vector size="8" baseType="lpstr">
      <vt:lpstr>Kapak</vt:lpstr>
      <vt:lpstr>Karar Özeti</vt:lpstr>
      <vt:lpstr>Kapasite Hesabı</vt:lpstr>
      <vt:lpstr>Standartlar</vt:lpstr>
      <vt:lpstr>Ürün Seçimi</vt:lpstr>
      <vt:lpstr>Kontrol Listesi</vt:lpstr>
      <vt:lpstr>Kaynaklar</vt:lpstr>
      <vt:lpstr>devam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Güral</dc:creator>
  <cp:lastModifiedBy>Fatih Güral -DOLFİN</cp:lastModifiedBy>
  <dcterms:created xsi:type="dcterms:W3CDTF">2015-06-05T18:19:34Z</dcterms:created>
  <dcterms:modified xsi:type="dcterms:W3CDTF">2026-08-21T08:51:06Z</dcterms:modified>
</cp:coreProperties>
</file>