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tih.gural\Desktop\PROJECTS\RESEARCH\0326068-EMELC-KBN 1B 1650\"/>
    </mc:Choice>
  </mc:AlternateContent>
  <xr:revisionPtr revIDLastSave="0" documentId="13_ncr:1_{B019981A-44E0-470E-8847-5B13BAAE257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je Özeti" sheetId="4" r:id="rId1"/>
    <sheet name="Elektrik Verileri" sheetId="1" r:id="rId2"/>
    <sheet name="Pano Malzemeleri" sheetId="2" r:id="rId3"/>
    <sheet name="Kuralla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 a="1"/>
  <c r="F4" i="2" s="1"/>
  <c r="D4" i="2"/>
  <c r="B4" i="2"/>
  <c r="F4" i="1"/>
  <c r="D4" i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<sst xmlns="http://schemas.openxmlformats.org/spreadsheetml/2006/main" count="230" uniqueCount="161">
  <si>
    <t>MAKİNE ELEKTRİK BİLEŞENLERİ</t>
  </si>
  <si>
    <t>Güç tüketen bileşenler, sensörler ve emniyet elemanları listesi</t>
  </si>
  <si>
    <t>Toplam Belirtilen Güç</t>
  </si>
  <si>
    <t>Toplam Belirtilen Akım</t>
  </si>
  <si>
    <t>Listelenen Kalem</t>
  </si>
  <si>
    <t>No</t>
  </si>
  <si>
    <t>Bileşen Adı</t>
  </si>
  <si>
    <t>Kategori</t>
  </si>
  <si>
    <t>Adet</t>
  </si>
  <si>
    <t>Güç (kW)</t>
  </si>
  <si>
    <t>Akım (A)</t>
  </si>
  <si>
    <t>Açıklama</t>
  </si>
  <si>
    <t>Yıkama Pompası 1</t>
  </si>
  <si>
    <t>Pompa motoru</t>
  </si>
  <si>
    <t>Yıkama devresi pompası</t>
  </si>
  <si>
    <t>Yıkama Pompası 2</t>
  </si>
  <si>
    <t>Yıkama Rezistansı 1</t>
  </si>
  <si>
    <t>Isıtıcı</t>
  </si>
  <si>
    <t>Yıkama suyu ısıtıcısı</t>
  </si>
  <si>
    <t>Yıkama Rezistansı 2</t>
  </si>
  <si>
    <t>Sepet Redüktörü</t>
  </si>
  <si>
    <t>Redüktörlü motor</t>
  </si>
  <si>
    <t>Sepeti döndüren tahrik</t>
  </si>
  <si>
    <t>Sepet Konum Sensörü</t>
  </si>
  <si>
    <t>Konum sensörü</t>
  </si>
  <si>
    <t>Kapak Switchleri</t>
  </si>
  <si>
    <t>Emniyet anahtarı</t>
  </si>
  <si>
    <t>Bir fonksiyon grubu olarak listelendi; fiziksel switch adedi teyit edilmeli</t>
  </si>
  <si>
    <t>El Koruma Işın Bariyeri</t>
  </si>
  <si>
    <t>Emniyet sensörü</t>
  </si>
  <si>
    <t>Işın bariyeri tipi el koruma emniyet elemanı</t>
  </si>
  <si>
    <t>Egzoz Fanı</t>
  </si>
  <si>
    <t>Fan motoru</t>
  </si>
  <si>
    <t>Egzoz/havalandırma fanı</t>
  </si>
  <si>
    <t>+24 V ile çalışır; sepet konum bilgisini alır</t>
  </si>
  <si>
    <t>Termokupl</t>
  </si>
  <si>
    <t>Sıcaklık sensörü</t>
  </si>
  <si>
    <t>Yıkama sıcaklığı ölçümü</t>
  </si>
  <si>
    <t>Seviye Sensörü</t>
  </si>
  <si>
    <t>Seviye sensörü</t>
  </si>
  <si>
    <t>Sıvı seviye bilgisi</t>
  </si>
  <si>
    <t>ELEKTRİK PANOSU MALZEME LİSTESİ</t>
  </si>
  <si>
    <t>Önceki malzeme listesi grup, stok kodu ve miktar bilgileriyle düzenlenmiştir</t>
  </si>
  <si>
    <t>Toplam Satır</t>
  </si>
  <si>
    <t>Toplam Adet</t>
  </si>
  <si>
    <t>Malzeme Grubu</t>
  </si>
  <si>
    <t>Grup</t>
  </si>
  <si>
    <t>Stok Kodu</t>
  </si>
  <si>
    <t>Malzeme Tanımı</t>
  </si>
  <si>
    <t>Not</t>
  </si>
  <si>
    <t>SİGORTA GRUBU</t>
  </si>
  <si>
    <t>10 00305</t>
  </si>
  <si>
    <t>SİGORTA KAÇAK AKIMLI A9R41463 4`LÜ</t>
  </si>
  <si>
    <t>—</t>
  </si>
  <si>
    <t>10 04732</t>
  </si>
  <si>
    <t>SİGORTA A9F74463 SCHNEİDER İC60N 6KA,63A,4P 63A</t>
  </si>
  <si>
    <t>10 00302</t>
  </si>
  <si>
    <t>SİGORTA A9F74103 1*3</t>
  </si>
  <si>
    <t>10 03578</t>
  </si>
  <si>
    <t>BARA GWEST 4*7MM</t>
  </si>
  <si>
    <t>10 00287</t>
  </si>
  <si>
    <t>PAKO ŞALTER YKL301M63 3*63</t>
  </si>
  <si>
    <t>RÖLE GRUBU</t>
  </si>
  <si>
    <t>10 00294</t>
  </si>
  <si>
    <t>MİNYATÜR RÖLE RXM4AB1P7 220V</t>
  </si>
  <si>
    <t>10 01398</t>
  </si>
  <si>
    <t>MİNYATÜR RÖLE RXM4AB1BD 24V 16 PİNLİ</t>
  </si>
  <si>
    <t>10 00295</t>
  </si>
  <si>
    <t>RÖLE SOKETİ RXZE2M114M</t>
  </si>
  <si>
    <t>KONTAK GRUBU</t>
  </si>
  <si>
    <t>10 00244</t>
  </si>
  <si>
    <t>TERMİK RÖLESİ LR2K0306 0,80-1,2A</t>
  </si>
  <si>
    <t>10 02314</t>
  </si>
  <si>
    <t>KONTAKTÖR LC1K0610M7 220V</t>
  </si>
  <si>
    <t>10 01332</t>
  </si>
  <si>
    <t>KONTAKTÖR LC1K1610M7 220V</t>
  </si>
  <si>
    <t>10 00238</t>
  </si>
  <si>
    <t>YARDIMCI KONTAK LA1KN20</t>
  </si>
  <si>
    <t>GÜÇ KONTROL GRUBU</t>
  </si>
  <si>
    <t>10 02772</t>
  </si>
  <si>
    <t>GÜÇ KAYNAĞI MDR 100/24</t>
  </si>
  <si>
    <t>10 00258</t>
  </si>
  <si>
    <t>FAZ KORUMA RÖLESİ MKS-03</t>
  </si>
  <si>
    <t>PANO ETİKET BUTON GRUBU</t>
  </si>
  <si>
    <t>10 00229</t>
  </si>
  <si>
    <t>ORDEL OC990-9/0240 FIR.KON.CİH-DİJ.PAN.</t>
  </si>
  <si>
    <t>10 03445</t>
  </si>
  <si>
    <t>BUTON ACİL STOP MANTAR B200EE</t>
  </si>
  <si>
    <t>10 00272</t>
  </si>
  <si>
    <t>BUTON START B100DM</t>
  </si>
  <si>
    <t>10 01375</t>
  </si>
  <si>
    <t>SİNYAL LAMBA B7 B MAVİ LED Lİ BLOK 12-30V AC/DC</t>
  </si>
  <si>
    <t>10 00270</t>
  </si>
  <si>
    <t>BUTON START B100DB</t>
  </si>
  <si>
    <t>10 00273</t>
  </si>
  <si>
    <t>BUTON START B100DY</t>
  </si>
  <si>
    <t>10 00271</t>
  </si>
  <si>
    <t>BUTON START B100DK</t>
  </si>
  <si>
    <t>10 00262</t>
  </si>
  <si>
    <t>BUTON MANDAL B100S20</t>
  </si>
  <si>
    <t>10 00278</t>
  </si>
  <si>
    <t>SİNYAL LAMBASI S14K KIRMIZI 220V</t>
  </si>
  <si>
    <t>10 00279</t>
  </si>
  <si>
    <t>SİNYAL LAMBASI S14B BEYAZ 220V</t>
  </si>
  <si>
    <t>10 00267</t>
  </si>
  <si>
    <t>KONTAK BLOK NO B1</t>
  </si>
  <si>
    <t>10 00268</t>
  </si>
  <si>
    <t>KONTAK BLOK NC B2</t>
  </si>
  <si>
    <t>10 04538</t>
  </si>
  <si>
    <t>EMNİYET RÖLESİ G9SPN20S OMRON G9SX</t>
  </si>
  <si>
    <t>10 02146</t>
  </si>
  <si>
    <t>YAPRAK ROLE KONTAĞI WEİDMÜLLER TRS 24VDC 1CO</t>
  </si>
  <si>
    <t>Kaçak Akım Sigortası</t>
  </si>
  <si>
    <t>Aşırı Akım Sigortası</t>
  </si>
  <si>
    <t>Kumanda Sigortası</t>
  </si>
  <si>
    <t>Güç Dağıtım Barası</t>
  </si>
  <si>
    <t>Ana Enerji Kesici Şalter</t>
  </si>
  <si>
    <t>Kontrol Devresi Rölesi</t>
  </si>
  <si>
    <t>Yıkama Pompası 1 + Yıkama Pompası 2</t>
  </si>
  <si>
    <t>Egzos Fanı</t>
  </si>
  <si>
    <t>Yıkama Rezistansı 1 + Yıkama Rezistansı 2</t>
  </si>
  <si>
    <t>TERMİK RÖLESİ LR2K0312 3,70-5,5A</t>
  </si>
  <si>
    <t>10 00248</t>
  </si>
  <si>
    <t>KONTAKTÖR LC1K0910M7 220V</t>
  </si>
  <si>
    <t>10 01331</t>
  </si>
  <si>
    <t>ELEKTRİK PANO TASARIM KURALLARI</t>
  </si>
  <si>
    <t>Koruma, emniyet ve sensör seçiminde uygulanacak zorunlu kurallar</t>
  </si>
  <si>
    <t>KURAL ÖZETİ</t>
  </si>
  <si>
    <t>Ana koruma elemanlarının akım değerleri eşit seçilmelidir. Işın bariyeri kullanılan makinelerde emniyet rölesi ve çift el butonu birlikte bulunmalıdır. Sepet durdurma sensör tipi makine grubuna göre değişir; kapak kapalı bilgisi daima kuru kontak switch ile alınır.</t>
  </si>
  <si>
    <t>Kural No</t>
  </si>
  <si>
    <t>Konu</t>
  </si>
  <si>
    <t>Koşul / Grup</t>
  </si>
  <si>
    <t>Zorunlu Kural</t>
  </si>
  <si>
    <t>Kontrol Notu</t>
  </si>
  <si>
    <t>Ana koruma elemanları</t>
  </si>
  <si>
    <t>Tüm makineler</t>
  </si>
  <si>
    <t>Pako şalter, kaçak akım sigortası ve aşırı akım sigortası aynı akım değerinde olmalıdır.</t>
  </si>
  <si>
    <t>Üç elemanın amper değerini karşılaştır.</t>
  </si>
  <si>
    <t>Makine emniyeti</t>
  </si>
  <si>
    <t>Işın bariyeri varsa</t>
  </si>
  <si>
    <t>Emniyet rölesi ve çift el butonu bulunmak zorundadır.</t>
  </si>
  <si>
    <t>İki emniyet elemanı da birlikte kontrol edilmelidir.</t>
  </si>
  <si>
    <t>Sepet durdurma sensörü</t>
  </si>
  <si>
    <t>KBN grubu</t>
  </si>
  <si>
    <t>Sepet durdurma elemanı +24 V sensör olmalıdır.</t>
  </si>
  <si>
    <t>Makine grubu KBN ise +24 V sensör seç.</t>
  </si>
  <si>
    <t>LYM grubu</t>
  </si>
  <si>
    <t>Sepet durdurma elemanı kuru kontak switch olmalıdır.</t>
  </si>
  <si>
    <t>Makine grubu LYM ise kuru kontak switch seç.</t>
  </si>
  <si>
    <t>Kapak kapalı bilgisi</t>
  </si>
  <si>
    <t>Kapak kapalı bilgisi veren cihaz kuru kontak switch olmalıdır.</t>
  </si>
  <si>
    <t>Kapak switch çıkış tipini kuru kontak olarak doğrula.</t>
  </si>
  <si>
    <t>MAKİNE ELEKTRİK PANO PROJESİ</t>
  </si>
  <si>
    <t>Bileşenler, pano malzemeleri ve zorunlu tasarım kuralları</t>
  </si>
  <si>
    <t>İÇİNDEKİLER</t>
  </si>
  <si>
    <t>Elektrik Verileri</t>
  </si>
  <si>
    <t>Makinedeki güç tüketen bileşenler, sensörler ve temel elektrik değerleri.</t>
  </si>
  <si>
    <t>Pano Malzemeleri</t>
  </si>
  <si>
    <t>Stok kodları, malzeme tanımları, adetler ve malzeme grupları.</t>
  </si>
  <si>
    <t>Kurallar</t>
  </si>
  <si>
    <t>Koruma elemanları, emniyet ekipmanları ve sensör seçimi için zorunlu kurallar.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</si>
</sst>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\ &quot;kW&quot;"/>
    <numFmt numFmtId="165" formatCode="0.0\ &quot;A&quot;"/>
    <numFmt numFmtId="166" formatCode="0\ &quot;kalem&quot;"/>
    <numFmt numFmtId="167" formatCode="0.0"/>
    <numFmt numFmtId="168" formatCode="0\ &quot;satır&quot;"/>
    <numFmt numFmtId="169" formatCode="0\ &quot;adet&quot;"/>
    <numFmt numFmtId="170" formatCode="0\ &quot;grup&quot;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1"/>
      <color rgb="FF2F75B5"/>
      <name val="Calibri"/>
      <family val="2"/>
      <scheme val="minor"/>
    </font>
    <font>
      <sz val="11"/>
      <color rgb="FF44444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horizontal="right" vertical="center"/>
    </xf>
    <xf numFmtId="165" fontId="4" fillId="3" borderId="0" xfId="0" applyNumberFormat="1" applyFont="1" applyFill="1" applyAlignment="1">
      <alignment horizontal="right" vertical="center"/>
    </xf>
    <xf numFmtId="166" fontId="4" fillId="3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49" fontId="0" fillId="0" borderId="0" xfId="0" applyNumberFormat="1"/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68" fontId="4" fillId="3" borderId="0" xfId="0" applyNumberFormat="1" applyFont="1" applyFill="1" applyAlignment="1">
      <alignment vertical="center"/>
    </xf>
    <xf numFmtId="169" fontId="4" fillId="3" borderId="0" xfId="0" applyNumberFormat="1" applyFont="1" applyFill="1" applyAlignment="1">
      <alignment vertical="center"/>
    </xf>
    <xf numFmtId="170" fontId="4" fillId="3" borderId="0" xfId="0" applyNumberFormat="1" applyFont="1" applyFill="1" applyAlignment="1">
      <alignment vertical="center"/>
    </xf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6" fillId="5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Border="1"/>
    <xf numFmtId="0" fontId="9" fillId="0" borderId="0" xfId="0" applyFont="1" applyBorder="1" applyAlignment="1">
      <alignment wrapText="1"/>
    </xf>
    <xf numFmtId="0" fontId="8" fillId="0" borderId="1" xfId="0" applyFont="1" applyBorder="1"/>
    <xf numFmtId="0" fontId="9" fillId="0" borderId="1" xfId="0" applyFont="1" applyBorder="1" applyAlignment="1">
      <alignment wrapText="1"/>
    </xf>
  </cellXfs>
  <cellStyles count="1">
    <cellStyle name="Normal" xfId="0" builtinId="0"/>
  </cellStyles>
  <dxfs count="16">
    <dxf>
      <alignment vertical="center"/>
    </dxf>
    <dxf>
      <alignment vertical="center"/>
    </dxf>
    <dxf>
      <alignment vertical="center" wrapText="1"/>
    </dxf>
    <dxf>
      <alignment vertical="center" wrapText="1"/>
    </dxf>
    <dxf>
      <alignment vertical="center"/>
    </dxf>
    <dxf>
      <alignment vertical="center"/>
    </dxf>
    <dxf>
      <alignment horizontal="center" vertical="center"/>
    </dxf>
    <dxf>
      <alignment wrapText="1"/>
    </dxf>
    <dxf>
      <alignment wrapText="1"/>
    </dxf>
    <dxf>
      <alignment horizontal="center"/>
    </dxf>
    <dxf>
      <numFmt numFmtId="1" formatCode="0"/>
      <alignment horizontal="center"/>
    </dxf>
    <dxf>
      <numFmt numFmtId="30" formatCode="@"/>
    </dxf>
    <dxf>
      <numFmt numFmtId="167" formatCode="0.0"/>
      <alignment horizontal="right"/>
    </dxf>
    <dxf>
      <numFmt numFmtId="2" formatCode="0.00"/>
      <alignment horizontal="right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645978-1B28-4751-9116-A86F6BA10681}" name="ElektrikBilesenleri" displayName="ElektrikBilesenleri" ref="A6:G17" totalsRowShown="0">
  <autoFilter ref="A6:G17" xr:uid="{81645978-1B28-4751-9116-A86F6BA10681}"/>
  <tableColumns count="7">
    <tableColumn id="1" xr3:uid="{F47CE0AA-5CA1-483F-B385-A7CF8BAB281E}" name="No" dataDxfId="15"/>
    <tableColumn id="2" xr3:uid="{E4B40885-DD0F-43F1-9A50-BCBC7C1FAB66}" name="Bileşen Adı"/>
    <tableColumn id="3" xr3:uid="{0152C216-E638-4DBC-AC8B-1843E57257C1}" name="Kategori"/>
    <tableColumn id="4" xr3:uid="{294AD365-4B17-499F-ADA1-EA8253969852}" name="Adet" dataDxfId="14"/>
    <tableColumn id="5" xr3:uid="{6B8EC683-84A0-4C5D-8614-1E5AFD2E51F7}" name="Güç (kW)" dataDxfId="13"/>
    <tableColumn id="6" xr3:uid="{416BDDF6-8E8D-4DD8-994B-2569AA9A9AEC}" name="Akım (A)" dataDxfId="12"/>
    <tableColumn id="7" xr3:uid="{22A7C39F-3FF2-42C0-94A3-0C8842EE6B01}" name="Açıklam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1F6445-A1D0-42AE-AEC1-16554E838F9F}" name="PanoMalzemeleri" displayName="PanoMalzemeleri" ref="A6:E41" totalsRowShown="0">
  <autoFilter ref="A6:E41" xr:uid="{6C1F6445-A1D0-42AE-AEC1-16554E838F9F}"/>
  <tableColumns count="5">
    <tableColumn id="1" xr3:uid="{6E41C75F-4E57-43E2-B646-6BABB85CE9EF}" name="Grup"/>
    <tableColumn id="2" xr3:uid="{FFFCE83F-3A96-4191-B516-EEC70498B4FF}" name="Stok Kodu" dataDxfId="11"/>
    <tableColumn id="3" xr3:uid="{513F425B-40B5-4ADC-967F-8939B8D5ABFF}" name="Malzeme Tanımı" dataDxfId="7"/>
    <tableColumn id="4" xr3:uid="{85CC4180-3149-42FB-99C7-8CFA1A58EA2E}" name="Adet" dataDxfId="10"/>
    <tableColumn id="5" xr3:uid="{5D0BC378-C7F2-4BE2-ACD2-B511EBE5B9AE}" name="Not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6FB7C8-E694-4E77-9C5C-32C771D09F8A}" name="TasarimKurallari" displayName="TasarimKurallari" ref="A7:E12" totalsRowShown="0" headerRowDxfId="1" dataDxfId="0">
  <autoFilter ref="A7:E12" xr:uid="{216FB7C8-E694-4E77-9C5C-32C771D09F8A}"/>
  <tableColumns count="5">
    <tableColumn id="1" xr3:uid="{58942BCF-236E-4CC3-A567-6C0EBEC6B93D}" name="Kural No" dataDxfId="6"/>
    <tableColumn id="2" xr3:uid="{D9B48EB9-D166-4580-9B16-4D5CD86E53FF}" name="Konu" dataDxfId="5"/>
    <tableColumn id="3" xr3:uid="{C036C864-72D3-40E4-9ACC-6D092F836953}" name="Koşul / Grup" dataDxfId="4"/>
    <tableColumn id="4" xr3:uid="{40CC688E-0321-4D95-83A0-89285EE12504}" name="Zorunlu Kural" dataDxfId="3"/>
    <tableColumn id="5" xr3:uid="{BB68A425-A686-446F-99D0-E93CE9706BFB}" name="Kontrol Notu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C682-10E3-4153-A826-BF34C4533DFF}">
  <dimension ref="A1:B9"/>
  <sheetViews>
    <sheetView workbookViewId="0">
      <selection activeCell="C17" sqref="C17"/>
    </sheetView>
  </sheetViews>
  <sheetFormatPr defaultRowHeight="15" x14ac:dyDescent="0.25"/>
  <cols>
    <col min="1" max="1" width="38.140625" customWidth="1"/>
    <col min="2" max="2" width="66.7109375" customWidth="1"/>
  </cols>
  <sheetData>
    <row r="1" spans="1:2" ht="26.25" x14ac:dyDescent="0.25">
      <c r="A1" s="25" t="s">
        <v>152</v>
      </c>
      <c r="B1" s="25"/>
    </row>
    <row r="2" spans="1:2" x14ac:dyDescent="0.25">
      <c r="A2" s="26" t="s">
        <v>153</v>
      </c>
      <c r="B2" s="26"/>
    </row>
    <row r="5" spans="1:2" ht="15.75" x14ac:dyDescent="0.25">
      <c r="A5" s="19" t="s">
        <v>154</v>
      </c>
      <c r="B5" s="19"/>
    </row>
    <row r="7" spans="1:2" ht="30" x14ac:dyDescent="0.25">
      <c r="A7" s="27" t="s">
        <v>155</v>
      </c>
      <c r="B7" s="28" t="s">
        <v>156</v>
      </c>
    </row>
    <row r="8" spans="1:2" x14ac:dyDescent="0.25">
      <c r="A8" s="27" t="s">
        <v>157</v>
      </c>
      <c r="B8" s="28" t="s">
        <v>158</v>
      </c>
    </row>
    <row r="9" spans="1:2" ht="30" x14ac:dyDescent="0.25">
      <c r="A9" s="29" t="s">
        <v>159</v>
      </c>
      <c r="B9" s="30" t="s">
        <v>160</v>
      </c>
    </row>
  </sheetData>
  <mergeCells count="3">
    <mergeCell ref="A1:B1"/>
    <mergeCell ref="A2:B2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C22" sqref="C22"/>
    </sheetView>
  </sheetViews>
  <sheetFormatPr defaultRowHeight="15" x14ac:dyDescent="0.25"/>
  <cols>
    <col min="1" max="1" width="8.5703125" customWidth="1"/>
    <col min="2" max="2" width="25.7109375" customWidth="1"/>
    <col min="3" max="3" width="19" customWidth="1"/>
    <col min="4" max="4" width="8.5703125" customWidth="1"/>
    <col min="5" max="5" width="13.28515625" customWidth="1"/>
    <col min="6" max="6" width="12.42578125" customWidth="1"/>
    <col min="7" max="7" width="38.140625" customWidth="1"/>
    <col min="8" max="8" width="12.42578125" customWidth="1"/>
    <col min="9" max="9" width="38.140625" customWidth="1"/>
  </cols>
  <sheetData>
    <row r="1" spans="1:9" ht="23.25" x14ac:dyDescent="0.25">
      <c r="A1" s="1" t="s">
        <v>0</v>
      </c>
      <c r="B1" s="1"/>
      <c r="C1" s="1"/>
      <c r="D1" s="1"/>
      <c r="E1" s="1"/>
      <c r="F1" s="1"/>
      <c r="G1" s="1"/>
      <c r="H1" s="11"/>
      <c r="I1" s="11"/>
    </row>
    <row r="2" spans="1:9" x14ac:dyDescent="0.25">
      <c r="A2" s="15" t="s">
        <v>1</v>
      </c>
      <c r="B2" s="15"/>
      <c r="C2" s="15"/>
      <c r="D2" s="15"/>
      <c r="E2" s="15"/>
      <c r="F2" s="15"/>
      <c r="G2" s="15"/>
      <c r="H2" s="12"/>
      <c r="I2" s="12"/>
    </row>
    <row r="4" spans="1:9" x14ac:dyDescent="0.25">
      <c r="A4" s="3" t="s">
        <v>2</v>
      </c>
      <c r="B4" s="4">
        <f>SUM(ElektrikBilesenleri[Güç (kW)])</f>
        <v>21.64</v>
      </c>
      <c r="C4" s="3" t="s">
        <v>3</v>
      </c>
      <c r="D4" s="5">
        <f>SUM(ElektrikBilesenleri[Akım (A)])</f>
        <v>44.4</v>
      </c>
      <c r="E4" s="3" t="s">
        <v>4</v>
      </c>
      <c r="F4" s="6">
        <f>COUNTA(ElektrikBilesenleri[Bileşen Adı])</f>
        <v>11</v>
      </c>
    </row>
    <row r="6" spans="1:9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</row>
    <row r="7" spans="1:9" x14ac:dyDescent="0.25">
      <c r="A7" s="7">
        <v>1</v>
      </c>
      <c r="B7" t="s">
        <v>12</v>
      </c>
      <c r="C7" t="s">
        <v>13</v>
      </c>
      <c r="D7" s="7">
        <v>1</v>
      </c>
      <c r="E7" s="8">
        <v>2.2000000000000002</v>
      </c>
      <c r="F7" s="9">
        <v>5.2</v>
      </c>
      <c r="G7" s="10" t="s">
        <v>14</v>
      </c>
    </row>
    <row r="8" spans="1:9" x14ac:dyDescent="0.25">
      <c r="A8" s="7">
        <v>2</v>
      </c>
      <c r="B8" t="s">
        <v>15</v>
      </c>
      <c r="C8" t="s">
        <v>13</v>
      </c>
      <c r="D8" s="7">
        <v>1</v>
      </c>
      <c r="E8" s="8">
        <v>2.2000000000000002</v>
      </c>
      <c r="F8" s="9">
        <v>5.2</v>
      </c>
      <c r="G8" s="10" t="s">
        <v>14</v>
      </c>
    </row>
    <row r="9" spans="1:9" x14ac:dyDescent="0.25">
      <c r="A9" s="7">
        <v>3</v>
      </c>
      <c r="B9" t="s">
        <v>16</v>
      </c>
      <c r="C9" t="s">
        <v>17</v>
      </c>
      <c r="D9" s="7">
        <v>1</v>
      </c>
      <c r="E9" s="8">
        <v>8.25</v>
      </c>
      <c r="F9" s="9">
        <v>16</v>
      </c>
      <c r="G9" s="10" t="s">
        <v>18</v>
      </c>
    </row>
    <row r="10" spans="1:9" x14ac:dyDescent="0.25">
      <c r="A10" s="7">
        <v>4</v>
      </c>
      <c r="B10" t="s">
        <v>19</v>
      </c>
      <c r="C10" t="s">
        <v>17</v>
      </c>
      <c r="D10" s="7">
        <v>1</v>
      </c>
      <c r="E10" s="8">
        <v>8.25</v>
      </c>
      <c r="F10" s="9">
        <v>16</v>
      </c>
      <c r="G10" s="10" t="s">
        <v>18</v>
      </c>
    </row>
    <row r="11" spans="1:9" x14ac:dyDescent="0.25">
      <c r="A11" s="7">
        <v>5</v>
      </c>
      <c r="B11" t="s">
        <v>20</v>
      </c>
      <c r="C11" t="s">
        <v>21</v>
      </c>
      <c r="D11" s="7">
        <v>1</v>
      </c>
      <c r="E11" s="8">
        <v>0.37</v>
      </c>
      <c r="F11" s="9">
        <v>1</v>
      </c>
      <c r="G11" s="10" t="s">
        <v>22</v>
      </c>
    </row>
    <row r="12" spans="1:9" x14ac:dyDescent="0.25">
      <c r="A12" s="7">
        <v>6</v>
      </c>
      <c r="B12" t="s">
        <v>23</v>
      </c>
      <c r="C12" t="s">
        <v>24</v>
      </c>
      <c r="D12" s="7">
        <v>1</v>
      </c>
      <c r="E12" s="8"/>
      <c r="F12" s="9"/>
      <c r="G12" s="10" t="s">
        <v>34</v>
      </c>
    </row>
    <row r="13" spans="1:9" ht="30" x14ac:dyDescent="0.25">
      <c r="A13" s="7">
        <v>7</v>
      </c>
      <c r="B13" t="s">
        <v>25</v>
      </c>
      <c r="C13" t="s">
        <v>26</v>
      </c>
      <c r="D13" s="7">
        <v>1</v>
      </c>
      <c r="E13" s="8"/>
      <c r="F13" s="9"/>
      <c r="G13" s="10" t="s">
        <v>27</v>
      </c>
    </row>
    <row r="14" spans="1:9" ht="30" x14ac:dyDescent="0.25">
      <c r="A14" s="7">
        <v>8</v>
      </c>
      <c r="B14" t="s">
        <v>28</v>
      </c>
      <c r="C14" t="s">
        <v>29</v>
      </c>
      <c r="D14" s="7">
        <v>1</v>
      </c>
      <c r="E14" s="8"/>
      <c r="F14" s="9"/>
      <c r="G14" s="10" t="s">
        <v>30</v>
      </c>
    </row>
    <row r="15" spans="1:9" x14ac:dyDescent="0.25">
      <c r="A15" s="7">
        <v>9</v>
      </c>
      <c r="B15" t="s">
        <v>31</v>
      </c>
      <c r="C15" t="s">
        <v>32</v>
      </c>
      <c r="D15" s="7">
        <v>1</v>
      </c>
      <c r="E15" s="8">
        <v>0.37</v>
      </c>
      <c r="F15" s="9">
        <v>1</v>
      </c>
      <c r="G15" s="10" t="s">
        <v>33</v>
      </c>
    </row>
    <row r="16" spans="1:9" x14ac:dyDescent="0.25">
      <c r="A16" s="7">
        <v>10</v>
      </c>
      <c r="B16" t="s">
        <v>35</v>
      </c>
      <c r="C16" t="s">
        <v>36</v>
      </c>
      <c r="D16" s="7">
        <v>1</v>
      </c>
      <c r="E16" s="8"/>
      <c r="F16" s="9"/>
      <c r="G16" s="10" t="s">
        <v>37</v>
      </c>
    </row>
    <row r="17" spans="1:7" x14ac:dyDescent="0.25">
      <c r="A17" s="7">
        <v>11</v>
      </c>
      <c r="B17" t="s">
        <v>38</v>
      </c>
      <c r="C17" t="s">
        <v>39</v>
      </c>
      <c r="D17" s="7">
        <v>1</v>
      </c>
      <c r="E17" s="8"/>
      <c r="F17" s="9"/>
      <c r="G17" s="10" t="s">
        <v>40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F23C-9695-414F-8081-BD0A99EA90C4}">
  <dimension ref="A1:F41"/>
  <sheetViews>
    <sheetView tabSelected="1" topLeftCell="A8" workbookViewId="0">
      <selection activeCell="C17" sqref="C17"/>
    </sheetView>
  </sheetViews>
  <sheetFormatPr defaultRowHeight="15" x14ac:dyDescent="0.25"/>
  <cols>
    <col min="1" max="1" width="27.5703125" customWidth="1"/>
    <col min="2" max="2" width="15.28515625" customWidth="1"/>
    <col min="3" max="3" width="47.5703125" customWidth="1"/>
    <col min="4" max="4" width="9.5703125" customWidth="1"/>
    <col min="5" max="5" width="46" customWidth="1"/>
    <col min="6" max="6" width="11.42578125" customWidth="1"/>
  </cols>
  <sheetData>
    <row r="1" spans="1:6" ht="23.25" x14ac:dyDescent="0.25">
      <c r="A1" s="1" t="s">
        <v>41</v>
      </c>
      <c r="B1" s="1"/>
      <c r="C1" s="1"/>
      <c r="D1" s="1"/>
      <c r="E1" s="1"/>
      <c r="F1" s="1"/>
    </row>
    <row r="2" spans="1:6" x14ac:dyDescent="0.25">
      <c r="A2" s="15" t="s">
        <v>42</v>
      </c>
      <c r="B2" s="15"/>
      <c r="C2" s="15"/>
      <c r="D2" s="15"/>
      <c r="E2" s="15"/>
      <c r="F2" s="15"/>
    </row>
    <row r="4" spans="1:6" x14ac:dyDescent="0.25">
      <c r="A4" s="3" t="s">
        <v>43</v>
      </c>
      <c r="B4" s="16">
        <f>COUNTA(PanoMalzemeleri[Stok Kodu])</f>
        <v>34</v>
      </c>
      <c r="C4" s="3" t="s">
        <v>44</v>
      </c>
      <c r="D4" s="17">
        <f>SUM(PanoMalzemeleri[Adet])</f>
        <v>60</v>
      </c>
      <c r="E4" s="3" t="s">
        <v>45</v>
      </c>
      <c r="F4" s="18" cm="1">
        <f t="array" ref="F4">ROWS(_xlfn.UNIQUE(_xlfn._xlws.FILTER(PanoMalzemeleri[Grup],PanoMalzemeleri[Grup]&lt;&gt;"")))</f>
        <v>5</v>
      </c>
    </row>
    <row r="6" spans="1:6" x14ac:dyDescent="0.25">
      <c r="A6" t="s">
        <v>46</v>
      </c>
      <c r="B6" t="s">
        <v>47</v>
      </c>
      <c r="C6" t="s">
        <v>48</v>
      </c>
      <c r="D6" t="s">
        <v>8</v>
      </c>
      <c r="E6" t="s">
        <v>49</v>
      </c>
    </row>
    <row r="7" spans="1:6" x14ac:dyDescent="0.25">
      <c r="A7" t="s">
        <v>50</v>
      </c>
      <c r="B7" s="13" t="s">
        <v>51</v>
      </c>
      <c r="C7" s="10" t="s">
        <v>52</v>
      </c>
      <c r="D7" s="14">
        <v>1</v>
      </c>
      <c r="E7" s="7" t="s">
        <v>112</v>
      </c>
    </row>
    <row r="8" spans="1:6" ht="30" x14ac:dyDescent="0.25">
      <c r="A8" t="s">
        <v>50</v>
      </c>
      <c r="B8" s="13" t="s">
        <v>54</v>
      </c>
      <c r="C8" s="10" t="s">
        <v>55</v>
      </c>
      <c r="D8" s="14">
        <v>1</v>
      </c>
      <c r="E8" s="7" t="s">
        <v>113</v>
      </c>
    </row>
    <row r="9" spans="1:6" x14ac:dyDescent="0.25">
      <c r="A9" t="s">
        <v>50</v>
      </c>
      <c r="B9" s="13" t="s">
        <v>56</v>
      </c>
      <c r="C9" s="10" t="s">
        <v>57</v>
      </c>
      <c r="D9" s="14">
        <v>1</v>
      </c>
      <c r="E9" s="7" t="s">
        <v>114</v>
      </c>
    </row>
    <row r="10" spans="1:6" x14ac:dyDescent="0.25">
      <c r="A10" t="s">
        <v>50</v>
      </c>
      <c r="B10" s="13" t="s">
        <v>58</v>
      </c>
      <c r="C10" s="10" t="s">
        <v>59</v>
      </c>
      <c r="D10" s="14">
        <v>1</v>
      </c>
      <c r="E10" s="7" t="s">
        <v>115</v>
      </c>
    </row>
    <row r="11" spans="1:6" x14ac:dyDescent="0.25">
      <c r="A11" t="s">
        <v>50</v>
      </c>
      <c r="B11" s="13" t="s">
        <v>60</v>
      </c>
      <c r="C11" s="10" t="s">
        <v>61</v>
      </c>
      <c r="D11" s="14">
        <v>1</v>
      </c>
      <c r="E11" s="7" t="s">
        <v>116</v>
      </c>
    </row>
    <row r="12" spans="1:6" x14ac:dyDescent="0.25">
      <c r="A12" t="s">
        <v>62</v>
      </c>
      <c r="B12" s="13" t="s">
        <v>63</v>
      </c>
      <c r="C12" s="10" t="s">
        <v>64</v>
      </c>
      <c r="D12" s="14">
        <v>2</v>
      </c>
      <c r="E12" s="7" t="s">
        <v>117</v>
      </c>
    </row>
    <row r="13" spans="1:6" x14ac:dyDescent="0.25">
      <c r="A13" t="s">
        <v>62</v>
      </c>
      <c r="B13" s="13" t="s">
        <v>65</v>
      </c>
      <c r="C13" s="10" t="s">
        <v>66</v>
      </c>
      <c r="D13" s="14">
        <v>1</v>
      </c>
      <c r="E13" s="7" t="s">
        <v>117</v>
      </c>
    </row>
    <row r="14" spans="1:6" x14ac:dyDescent="0.25">
      <c r="A14" t="s">
        <v>62</v>
      </c>
      <c r="B14" s="13" t="s">
        <v>67</v>
      </c>
      <c r="C14" s="10" t="s">
        <v>68</v>
      </c>
      <c r="D14" s="14">
        <v>3</v>
      </c>
      <c r="E14" s="7" t="s">
        <v>117</v>
      </c>
    </row>
    <row r="15" spans="1:6" x14ac:dyDescent="0.25">
      <c r="A15" t="s">
        <v>69</v>
      </c>
      <c r="B15" s="13" t="s">
        <v>122</v>
      </c>
      <c r="C15" s="10" t="s">
        <v>121</v>
      </c>
      <c r="D15" s="14">
        <v>2</v>
      </c>
      <c r="E15" s="7" t="s">
        <v>118</v>
      </c>
    </row>
    <row r="16" spans="1:6" x14ac:dyDescent="0.25">
      <c r="A16" t="s">
        <v>69</v>
      </c>
      <c r="B16" s="13" t="s">
        <v>124</v>
      </c>
      <c r="C16" s="10" t="s">
        <v>123</v>
      </c>
      <c r="D16" s="14">
        <v>1</v>
      </c>
      <c r="E16" s="7" t="s">
        <v>118</v>
      </c>
    </row>
    <row r="17" spans="1:5" x14ac:dyDescent="0.25">
      <c r="A17" t="s">
        <v>69</v>
      </c>
      <c r="B17" s="13" t="s">
        <v>72</v>
      </c>
      <c r="C17" s="10" t="s">
        <v>73</v>
      </c>
      <c r="D17" s="14">
        <v>1</v>
      </c>
      <c r="E17" s="7" t="s">
        <v>20</v>
      </c>
    </row>
    <row r="18" spans="1:5" x14ac:dyDescent="0.25">
      <c r="A18" t="s">
        <v>69</v>
      </c>
      <c r="B18" s="13" t="s">
        <v>74</v>
      </c>
      <c r="C18" s="10" t="s">
        <v>75</v>
      </c>
      <c r="D18" s="14">
        <v>4</v>
      </c>
      <c r="E18" s="7" t="s">
        <v>20</v>
      </c>
    </row>
    <row r="19" spans="1:5" x14ac:dyDescent="0.25">
      <c r="A19" t="s">
        <v>69</v>
      </c>
      <c r="B19" s="13" t="s">
        <v>76</v>
      </c>
      <c r="C19" s="10" t="s">
        <v>77</v>
      </c>
      <c r="D19" s="14">
        <v>2</v>
      </c>
      <c r="E19" s="7" t="s">
        <v>119</v>
      </c>
    </row>
    <row r="20" spans="1:5" x14ac:dyDescent="0.25">
      <c r="A20" t="s">
        <v>69</v>
      </c>
      <c r="B20" s="13" t="s">
        <v>70</v>
      </c>
      <c r="C20" s="10" t="s">
        <v>71</v>
      </c>
      <c r="D20" s="14">
        <v>2</v>
      </c>
      <c r="E20" s="7" t="s">
        <v>119</v>
      </c>
    </row>
    <row r="21" spans="1:5" x14ac:dyDescent="0.25">
      <c r="A21" t="s">
        <v>69</v>
      </c>
      <c r="B21" s="13" t="s">
        <v>72</v>
      </c>
      <c r="C21" s="10" t="s">
        <v>73</v>
      </c>
      <c r="D21" s="14">
        <v>2</v>
      </c>
      <c r="E21" s="7" t="s">
        <v>120</v>
      </c>
    </row>
    <row r="22" spans="1:5" x14ac:dyDescent="0.25">
      <c r="B22" s="13"/>
      <c r="C22" s="10"/>
      <c r="D22" s="14"/>
      <c r="E22" s="7" t="s">
        <v>120</v>
      </c>
    </row>
    <row r="23" spans="1:5" x14ac:dyDescent="0.25">
      <c r="A23" t="s">
        <v>78</v>
      </c>
      <c r="B23" s="13" t="s">
        <v>79</v>
      </c>
      <c r="C23" s="10" t="s">
        <v>80</v>
      </c>
      <c r="D23" s="14">
        <v>1</v>
      </c>
      <c r="E23" s="7" t="s">
        <v>53</v>
      </c>
    </row>
    <row r="24" spans="1:5" x14ac:dyDescent="0.25">
      <c r="A24" t="s">
        <v>78</v>
      </c>
      <c r="B24" s="13" t="s">
        <v>81</v>
      </c>
      <c r="C24" s="10" t="s">
        <v>82</v>
      </c>
      <c r="D24" s="14">
        <v>1</v>
      </c>
      <c r="E24" s="7" t="s">
        <v>53</v>
      </c>
    </row>
    <row r="25" spans="1:5" x14ac:dyDescent="0.25">
      <c r="A25" t="s">
        <v>83</v>
      </c>
      <c r="B25" s="13" t="s">
        <v>84</v>
      </c>
      <c r="C25" s="10" t="s">
        <v>85</v>
      </c>
      <c r="D25" s="14">
        <v>1</v>
      </c>
      <c r="E25" s="7" t="s">
        <v>53</v>
      </c>
    </row>
    <row r="26" spans="1:5" x14ac:dyDescent="0.25">
      <c r="A26" t="s">
        <v>83</v>
      </c>
      <c r="B26" s="13" t="s">
        <v>86</v>
      </c>
      <c r="C26" s="10" t="s">
        <v>87</v>
      </c>
      <c r="D26" s="14">
        <v>1</v>
      </c>
      <c r="E26" s="7" t="s">
        <v>53</v>
      </c>
    </row>
    <row r="27" spans="1:5" x14ac:dyDescent="0.25">
      <c r="A27" t="s">
        <v>83</v>
      </c>
      <c r="B27" s="13" t="s">
        <v>88</v>
      </c>
      <c r="C27" s="10" t="s">
        <v>89</v>
      </c>
      <c r="D27" s="14">
        <v>1</v>
      </c>
      <c r="E27" s="7" t="s">
        <v>53</v>
      </c>
    </row>
    <row r="28" spans="1:5" x14ac:dyDescent="0.25">
      <c r="A28" t="s">
        <v>83</v>
      </c>
      <c r="B28" s="13" t="s">
        <v>90</v>
      </c>
      <c r="C28" s="10" t="s">
        <v>91</v>
      </c>
      <c r="D28" s="14">
        <v>1</v>
      </c>
      <c r="E28" s="7" t="s">
        <v>53</v>
      </c>
    </row>
    <row r="29" spans="1:5" x14ac:dyDescent="0.25">
      <c r="A29" t="s">
        <v>83</v>
      </c>
      <c r="B29" s="13" t="s">
        <v>92</v>
      </c>
      <c r="C29" s="10" t="s">
        <v>93</v>
      </c>
      <c r="D29" s="14">
        <v>1</v>
      </c>
      <c r="E29" s="7" t="s">
        <v>53</v>
      </c>
    </row>
    <row r="30" spans="1:5" x14ac:dyDescent="0.25">
      <c r="A30" t="s">
        <v>83</v>
      </c>
      <c r="B30" s="13" t="s">
        <v>94</v>
      </c>
      <c r="C30" s="10" t="s">
        <v>95</v>
      </c>
      <c r="D30" s="14">
        <v>1</v>
      </c>
      <c r="E30" s="7" t="s">
        <v>53</v>
      </c>
    </row>
    <row r="31" spans="1:5" x14ac:dyDescent="0.25">
      <c r="A31" t="s">
        <v>83</v>
      </c>
      <c r="B31" s="13" t="s">
        <v>96</v>
      </c>
      <c r="C31" s="10" t="s">
        <v>97</v>
      </c>
      <c r="D31" s="14">
        <v>1</v>
      </c>
      <c r="E31" s="7" t="s">
        <v>53</v>
      </c>
    </row>
    <row r="32" spans="1:5" x14ac:dyDescent="0.25">
      <c r="A32" t="s">
        <v>83</v>
      </c>
      <c r="B32" s="13" t="s">
        <v>98</v>
      </c>
      <c r="C32" s="10" t="s">
        <v>99</v>
      </c>
      <c r="D32" s="14">
        <v>1</v>
      </c>
      <c r="E32" s="7" t="s">
        <v>53</v>
      </c>
    </row>
    <row r="33" spans="1:5" x14ac:dyDescent="0.25">
      <c r="A33" t="s">
        <v>83</v>
      </c>
      <c r="B33" s="13" t="s">
        <v>100</v>
      </c>
      <c r="C33" s="10" t="s">
        <v>101</v>
      </c>
      <c r="D33" s="14">
        <v>3</v>
      </c>
      <c r="E33" s="7" t="s">
        <v>53</v>
      </c>
    </row>
    <row r="34" spans="1:5" x14ac:dyDescent="0.25">
      <c r="A34" t="s">
        <v>83</v>
      </c>
      <c r="B34" s="13" t="s">
        <v>102</v>
      </c>
      <c r="C34" s="10" t="s">
        <v>103</v>
      </c>
      <c r="D34" s="14">
        <v>3</v>
      </c>
      <c r="E34" s="7" t="s">
        <v>53</v>
      </c>
    </row>
    <row r="35" spans="1:5" x14ac:dyDescent="0.25">
      <c r="A35" t="s">
        <v>83</v>
      </c>
      <c r="B35" s="13" t="s">
        <v>104</v>
      </c>
      <c r="C35" s="10" t="s">
        <v>105</v>
      </c>
      <c r="D35" s="14">
        <v>6</v>
      </c>
      <c r="E35" s="7" t="s">
        <v>53</v>
      </c>
    </row>
    <row r="36" spans="1:5" x14ac:dyDescent="0.25">
      <c r="A36" t="s">
        <v>83</v>
      </c>
      <c r="B36" s="13" t="s">
        <v>106</v>
      </c>
      <c r="C36" s="10" t="s">
        <v>107</v>
      </c>
      <c r="D36" s="14">
        <v>4</v>
      </c>
      <c r="E36" s="7" t="s">
        <v>53</v>
      </c>
    </row>
    <row r="37" spans="1:5" x14ac:dyDescent="0.25">
      <c r="A37" t="s">
        <v>83</v>
      </c>
      <c r="B37" s="13" t="s">
        <v>108</v>
      </c>
      <c r="C37" s="10" t="s">
        <v>109</v>
      </c>
      <c r="D37" s="14">
        <v>1</v>
      </c>
      <c r="E37" s="7" t="s">
        <v>53</v>
      </c>
    </row>
    <row r="38" spans="1:5" x14ac:dyDescent="0.25">
      <c r="A38" t="s">
        <v>83</v>
      </c>
      <c r="B38" s="13" t="s">
        <v>94</v>
      </c>
      <c r="C38" s="10" t="s">
        <v>95</v>
      </c>
      <c r="D38" s="14">
        <v>1</v>
      </c>
      <c r="E38" s="7" t="s">
        <v>53</v>
      </c>
    </row>
    <row r="39" spans="1:5" x14ac:dyDescent="0.25">
      <c r="A39" t="s">
        <v>83</v>
      </c>
      <c r="B39" s="13" t="s">
        <v>96</v>
      </c>
      <c r="C39" s="10" t="s">
        <v>97</v>
      </c>
      <c r="D39" s="14">
        <v>1</v>
      </c>
      <c r="E39" s="7" t="s">
        <v>53</v>
      </c>
    </row>
    <row r="40" spans="1:5" x14ac:dyDescent="0.25">
      <c r="A40" t="s">
        <v>83</v>
      </c>
      <c r="B40" s="13" t="s">
        <v>104</v>
      </c>
      <c r="C40" s="10" t="s">
        <v>105</v>
      </c>
      <c r="D40" s="14">
        <v>2</v>
      </c>
      <c r="E40" s="7" t="s">
        <v>53</v>
      </c>
    </row>
    <row r="41" spans="1:5" ht="30" x14ac:dyDescent="0.25">
      <c r="A41" t="s">
        <v>83</v>
      </c>
      <c r="B41" s="13" t="s">
        <v>110</v>
      </c>
      <c r="C41" s="10" t="s">
        <v>111</v>
      </c>
      <c r="D41" s="14">
        <v>4</v>
      </c>
      <c r="E41" s="7" t="s">
        <v>53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E5DB-3DF2-4C1E-8B84-F26AEE03CAC8}">
  <dimension ref="A1:E12"/>
  <sheetViews>
    <sheetView workbookViewId="0">
      <selection activeCell="D17" sqref="D17"/>
    </sheetView>
  </sheetViews>
  <sheetFormatPr defaultRowHeight="15" x14ac:dyDescent="0.25"/>
  <cols>
    <col min="1" max="1" width="11.42578125" customWidth="1"/>
    <col min="2" max="2" width="23.85546875" customWidth="1"/>
    <col min="3" max="3" width="20" customWidth="1"/>
    <col min="4" max="4" width="38.140625" customWidth="1"/>
    <col min="5" max="5" width="32.42578125" customWidth="1"/>
  </cols>
  <sheetData>
    <row r="1" spans="1:5" ht="23.25" x14ac:dyDescent="0.25">
      <c r="A1" s="1" t="s">
        <v>125</v>
      </c>
      <c r="B1" s="1"/>
      <c r="C1" s="1"/>
      <c r="D1" s="1"/>
      <c r="E1" s="1"/>
    </row>
    <row r="2" spans="1:5" x14ac:dyDescent="0.25">
      <c r="A2" s="2" t="s">
        <v>126</v>
      </c>
      <c r="B2" s="2"/>
      <c r="C2" s="2"/>
      <c r="D2" s="2"/>
      <c r="E2" s="2"/>
    </row>
    <row r="4" spans="1:5" ht="15.75" x14ac:dyDescent="0.25">
      <c r="A4" s="20" t="s">
        <v>127</v>
      </c>
      <c r="B4" s="20"/>
      <c r="C4" s="20"/>
      <c r="D4" s="20"/>
      <c r="E4" s="20"/>
    </row>
    <row r="5" spans="1:5" ht="57.95" customHeight="1" x14ac:dyDescent="0.25">
      <c r="A5" s="21" t="s">
        <v>128</v>
      </c>
      <c r="B5" s="21"/>
      <c r="C5" s="21"/>
      <c r="D5" s="21"/>
      <c r="E5" s="21"/>
    </row>
    <row r="7" spans="1:5" x14ac:dyDescent="0.25">
      <c r="A7" s="22" t="s">
        <v>129</v>
      </c>
      <c r="B7" s="22" t="s">
        <v>130</v>
      </c>
      <c r="C7" s="22" t="s">
        <v>131</v>
      </c>
      <c r="D7" s="22" t="s">
        <v>132</v>
      </c>
      <c r="E7" s="22" t="s">
        <v>133</v>
      </c>
    </row>
    <row r="8" spans="1:5" ht="45" x14ac:dyDescent="0.25">
      <c r="A8" s="23">
        <v>1</v>
      </c>
      <c r="B8" s="22" t="s">
        <v>134</v>
      </c>
      <c r="C8" s="22" t="s">
        <v>135</v>
      </c>
      <c r="D8" s="24" t="s">
        <v>136</v>
      </c>
      <c r="E8" s="24" t="s">
        <v>137</v>
      </c>
    </row>
    <row r="9" spans="1:5" ht="30" x14ac:dyDescent="0.25">
      <c r="A9" s="23">
        <v>2</v>
      </c>
      <c r="B9" s="22" t="s">
        <v>138</v>
      </c>
      <c r="C9" s="22" t="s">
        <v>139</v>
      </c>
      <c r="D9" s="24" t="s">
        <v>140</v>
      </c>
      <c r="E9" s="24" t="s">
        <v>141</v>
      </c>
    </row>
    <row r="10" spans="1:5" ht="30" x14ac:dyDescent="0.25">
      <c r="A10" s="23">
        <v>3</v>
      </c>
      <c r="B10" s="22" t="s">
        <v>142</v>
      </c>
      <c r="C10" s="22" t="s">
        <v>143</v>
      </c>
      <c r="D10" s="24" t="s">
        <v>144</v>
      </c>
      <c r="E10" s="24" t="s">
        <v>145</v>
      </c>
    </row>
    <row r="11" spans="1:5" ht="30" x14ac:dyDescent="0.25">
      <c r="A11" s="23">
        <v>3</v>
      </c>
      <c r="B11" s="22" t="s">
        <v>142</v>
      </c>
      <c r="C11" s="22" t="s">
        <v>146</v>
      </c>
      <c r="D11" s="24" t="s">
        <v>147</v>
      </c>
      <c r="E11" s="24" t="s">
        <v>148</v>
      </c>
    </row>
    <row r="12" spans="1:5" ht="30" x14ac:dyDescent="0.25">
      <c r="A12" s="23">
        <v>4</v>
      </c>
      <c r="B12" s="22" t="s">
        <v>149</v>
      </c>
      <c r="C12" s="22" t="s">
        <v>135</v>
      </c>
      <c r="D12" s="24" t="s">
        <v>150</v>
      </c>
      <c r="E12" s="24" t="s">
        <v>151</v>
      </c>
    </row>
  </sheetData>
  <mergeCells count="4">
    <mergeCell ref="A1:E1"/>
    <mergeCell ref="A2:E2"/>
    <mergeCell ref="A4:E4"/>
    <mergeCell ref="A5:E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Proje Özeti</vt:lpstr>
      <vt:lpstr>Elektrik Verileri</vt:lpstr>
      <vt:lpstr>Pano Malzemeleri</vt:lpstr>
      <vt:lpstr>Kurallar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Güral</dc:creator>
  <cp:lastModifiedBy>Fatih Güral -DOLFİN</cp:lastModifiedBy>
  <dcterms:created xsi:type="dcterms:W3CDTF">2015-06-05T18:19:34Z</dcterms:created>
  <dcterms:modified xsi:type="dcterms:W3CDTF">2026-08-24T07:37:39Z</dcterms:modified>
</cp:coreProperties>
</file>