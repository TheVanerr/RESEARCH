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fatih.gural\Desktop\PROJECTS\RESEARCH\0226084-SHDCO-LYM 1350\"/>
    </mc:Choice>
  </mc:AlternateContent>
  <xr:revisionPtr revIDLastSave="0" documentId="13_ncr:1_{61B4EB68-B492-4953-8053-0EE9BA8A2EDA}" xr6:coauthVersionLast="47" xr6:coauthVersionMax="47" xr10:uidLastSave="{00000000-0000-0000-0000-000000000000}"/>
  <bookViews>
    <workbookView xWindow="-120" yWindow="-120" windowWidth="29040" windowHeight="15720" activeTab="1" xr2:uid="{00000000-000D-0000-FFFF-FFFF00000000}"/>
  </bookViews>
  <sheets>
    <sheet name="Sayfa1" sheetId="1" r:id="rId1"/>
    <sheet name="Sayfa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34" i="2" l="1"/>
  <c r="C133" i="2"/>
  <c r="G115" i="2"/>
  <c r="G114" i="2"/>
  <c r="G101" i="2"/>
  <c r="G100" i="2"/>
  <c r="G99" i="2"/>
  <c r="C132" i="2"/>
  <c r="C128" i="2"/>
  <c r="A128" i="2"/>
  <c r="B128" i="2"/>
  <c r="C127" i="2"/>
  <c r="A127" i="2"/>
  <c r="B127" i="2"/>
  <c r="G126" i="2"/>
  <c r="C126" i="2"/>
  <c r="A126" i="2"/>
  <c r="B126" i="2"/>
  <c r="C125" i="2"/>
  <c r="A125" i="2"/>
  <c r="B125" i="2"/>
  <c r="G124" i="2"/>
  <c r="C124" i="2"/>
  <c r="A124" i="2"/>
  <c r="B124" i="2"/>
  <c r="C123" i="2"/>
  <c r="A123" i="2"/>
  <c r="B123" i="2"/>
  <c r="C122" i="2"/>
  <c r="A122" i="2"/>
  <c r="B122" i="2"/>
  <c r="C121" i="2"/>
  <c r="A121" i="2"/>
  <c r="B121" i="2"/>
  <c r="C120" i="2"/>
  <c r="A120" i="2"/>
  <c r="B120" i="2"/>
  <c r="C119" i="2"/>
  <c r="A119" i="2"/>
  <c r="B119" i="2"/>
  <c r="G118" i="2"/>
  <c r="C118" i="2"/>
  <c r="A118" i="2"/>
  <c r="B118" i="2"/>
  <c r="C117" i="2"/>
  <c r="A117" i="2"/>
  <c r="B117" i="2"/>
  <c r="C116" i="2"/>
  <c r="A116" i="2"/>
  <c r="B116" i="2"/>
  <c r="C115" i="2"/>
  <c r="A115" i="2"/>
  <c r="B115" i="2"/>
  <c r="C114" i="2"/>
  <c r="A114" i="2"/>
  <c r="B114" i="2"/>
  <c r="C113" i="2"/>
  <c r="A113" i="2"/>
  <c r="B113" i="2"/>
  <c r="C112" i="2"/>
  <c r="A112" i="2"/>
  <c r="B112" i="2"/>
  <c r="C111" i="2"/>
  <c r="A111" i="2"/>
  <c r="B111" i="2"/>
  <c r="G110" i="2"/>
  <c r="C110" i="2"/>
  <c r="A110" i="2"/>
  <c r="B110" i="2"/>
  <c r="C109" i="2"/>
  <c r="A109" i="2"/>
  <c r="B109" i="2"/>
  <c r="C108" i="2"/>
  <c r="A108" i="2"/>
  <c r="B108" i="2"/>
  <c r="C107" i="2"/>
  <c r="A107" i="2"/>
  <c r="B107" i="2"/>
  <c r="C106" i="2"/>
  <c r="A106" i="2"/>
  <c r="B106" i="2"/>
  <c r="C105" i="2"/>
  <c r="A105" i="2"/>
  <c r="B105" i="2"/>
  <c r="C104" i="2"/>
  <c r="A104" i="2"/>
  <c r="B104" i="2"/>
  <c r="C103" i="2"/>
  <c r="A103" i="2"/>
  <c r="B103" i="2"/>
  <c r="C102" i="2"/>
  <c r="A102" i="2"/>
  <c r="B102" i="2"/>
  <c r="C101" i="2"/>
  <c r="A101" i="2"/>
  <c r="B101" i="2"/>
  <c r="C100" i="2"/>
  <c r="A100" i="2"/>
  <c r="B100" i="2"/>
  <c r="C99" i="2"/>
  <c r="A99" i="2"/>
  <c r="B99" i="2"/>
  <c r="G98" i="2"/>
  <c r="C98" i="2"/>
  <c r="A98" i="2"/>
  <c r="B98" i="2"/>
  <c r="E93" i="2"/>
  <c r="E92" i="2"/>
  <c r="E91" i="2"/>
  <c r="E89" i="2"/>
  <c r="E88" i="2"/>
  <c r="E87" i="2"/>
  <c r="E86" i="2"/>
  <c r="E85" i="2"/>
  <c r="E83" i="2"/>
  <c r="E82" i="2"/>
  <c r="E81" i="2"/>
  <c r="E80" i="2"/>
  <c r="E79" i="2"/>
  <c r="E78" i="2"/>
  <c r="E77" i="2"/>
  <c r="E76" i="2"/>
  <c r="E75" i="2"/>
  <c r="E74" i="2"/>
  <c r="E72" i="2"/>
  <c r="E71" i="2"/>
  <c r="E69" i="2"/>
  <c r="E68" i="2"/>
  <c r="E67" i="2"/>
  <c r="E66" i="2"/>
  <c r="E64" i="2"/>
  <c r="E63" i="2"/>
  <c r="E62" i="2"/>
  <c r="E60" i="2"/>
  <c r="E59" i="2"/>
  <c r="E58" i="2"/>
  <c r="E57" i="2"/>
  <c r="E22" i="1"/>
  <c r="F22" i="1" s="1"/>
  <c r="E21" i="1"/>
  <c r="F21" i="1" s="1"/>
  <c r="F20" i="1"/>
  <c r="E20" i="1"/>
  <c r="E19" i="1"/>
  <c r="F19" i="1" s="1"/>
  <c r="E18" i="1"/>
  <c r="F18" i="1" s="1"/>
  <c r="E23" i="1" l="1"/>
  <c r="E24" i="1" s="1"/>
</calcChain>
</file>

<file path=xl/sharedStrings.xml><?xml version="1.0" encoding="utf-8"?>
<sst xmlns="http://schemas.openxmlformats.org/spreadsheetml/2006/main" count="1682" uniqueCount="1230">
  <si>
    <t>770 × 480 UL PANO ÖN TASARIMI — ENDÜSTRİYEL YIKAMA MAKİNESİ</t>
  </si>
  <si>
    <t>480 V • 3 Faz • 60 Hz • 24 VDC kumanda • Kapaklı makine • Ön mühendislik / UL 508A panel shop doğrulaması gerekir</t>
  </si>
  <si>
    <t>TASARIM KARARI / STORY-IN-BRIEF</t>
  </si>
  <si>
    <t>Makine için yıkama ortamına uygun paslanmaz NEMA Type 4X muhafaza, 24 VDC kumanda ve kilitlenebilir ana ayırıcı önerilmiştir. Kapak açıkken pompa, sepet hareketi ve ısıtıcı enerjilenmez; acil stop ile kapı güvenliği sıradan minyatür röleye bırakılmaz, risk değerlendirmesine uygun çift kanallı güvenlik rölesi ve zorlamalı kontaklı güç elemanları üzerinden uygulanır. 8,25 kW ısıtıcı için ön hesap akımı yaklaşık 9,9 A; toplam besleme ve kablo seçimi pompa/motor isim levhası FLA değerleri ile tesis kısa devre akımı doğrulandıktan sonra kesinleştirilmelidir. Bu sayfa imalata esas nihai şema veya UL etiketi değildir; yetkili UL 508A panel shop/NRTL onayı gerekir.</t>
  </si>
  <si>
    <t>TASARIM GİRDİLERİ VE ÖN KABULLER</t>
  </si>
  <si>
    <t>Parametre</t>
  </si>
  <si>
    <t>Değer</t>
  </si>
  <si>
    <t>Birim</t>
  </si>
  <si>
    <t>Durum / kullanım</t>
  </si>
  <si>
    <t>Hesap girdisi</t>
  </si>
  <si>
    <t>Not</t>
  </si>
  <si>
    <t>Ana besleme gerilimi</t>
  </si>
  <si>
    <t>V AC</t>
  </si>
  <si>
    <t>Teyit: 480Y/277 V veya 480 V delta</t>
  </si>
  <si>
    <t>Pompa varsayılan güç</t>
  </si>
  <si>
    <t>kW</t>
  </si>
  <si>
    <t>GCEA 370/3 kodundan ön kabul; nameplate teyidi zorunlu</t>
  </si>
  <si>
    <t>Faz / frekans</t>
  </si>
  <si>
    <t>faz / Hz</t>
  </si>
  <si>
    <t>Kullanıcı girdisi</t>
  </si>
  <si>
    <t>Pompa PF / verim</t>
  </si>
  <si>
    <t>0.85 / 0.85</t>
  </si>
  <si>
    <t>-</t>
  </si>
  <si>
    <t>Sadece ön akım hesabı</t>
  </si>
  <si>
    <t>Kumanda gerilimi</t>
  </si>
  <si>
    <t>V DC</t>
  </si>
  <si>
    <t>Önerilen standart</t>
  </si>
  <si>
    <t>Küçük motor PF / verim</t>
  </si>
  <si>
    <t>0.75 / 0.65</t>
  </si>
  <si>
    <t>Muhafaza ölçüsü</t>
  </si>
  <si>
    <t>770 × 480 × derinlik TBD</t>
  </si>
  <si>
    <t>mm</t>
  </si>
  <si>
    <t>Derinlik ve ısı hesabı kesinleşecek</t>
  </si>
  <si>
    <t>Isıtıcı bağlantısı</t>
  </si>
  <si>
    <t>3 faz dengeli</t>
  </si>
  <si>
    <t>Bağlantı/terminal şeması teyit edilecek</t>
  </si>
  <si>
    <t>Muhafaza sınıfı</t>
  </si>
  <si>
    <t>Paslanmaz NEMA Type 4X</t>
  </si>
  <si>
    <t>Yıkama ortamı; tüm rakor/operatörler Type 4X</t>
  </si>
  <si>
    <t>Tesis kısa devre akımı</t>
  </si>
  <si>
    <t>MÜŞTERİDEN İSTENECEK</t>
  </si>
  <si>
    <t>kA RMS</t>
  </si>
  <si>
    <t>Panel SCCR bundan düşük olamaz</t>
  </si>
  <si>
    <t>YÜK HESABI — ÖN BOYUTLANDIRMA</t>
  </si>
  <si>
    <t>No</t>
  </si>
  <si>
    <t>Yük</t>
  </si>
  <si>
    <t>Adet</t>
  </si>
  <si>
    <t>Anma gücü</t>
  </si>
  <si>
    <t>Hesap akımı</t>
  </si>
  <si>
    <t>Tasarım akımı</t>
  </si>
  <si>
    <t>İşletme koşulu</t>
  </si>
  <si>
    <t>Doğrulama</t>
  </si>
  <si>
    <t>Pompa — GOULDS GCEA 370/3 480V/60Hz</t>
  </si>
  <si>
    <t>Kapak kapalı + E-stop sağlıklı + su seviyesi uygun</t>
  </si>
  <si>
    <t>Nameplate FLA, hp ve servis faktörü</t>
  </si>
  <si>
    <t>Rezistans komplesi — 8250W M tipi</t>
  </si>
  <si>
    <t>Kapak kapalı + min. seviye + sıcaklık talebi</t>
  </si>
  <si>
    <t>3 faz/Y-Δ bağlantı ve sheath W/in²</t>
  </si>
  <si>
    <t>Yağ sıyırıcı motoru — 0,09kW 1500 d/d B14</t>
  </si>
  <si>
    <t>Seçici buton talebi; kapak güvenliği risk analizine göre</t>
  </si>
  <si>
    <t>Motor nameplate FLA</t>
  </si>
  <si>
    <t>Sepet motoru — 0,18kW 1500 d/d B34</t>
  </si>
  <si>
    <t>Sepet pozisyonu + kapak güvenliği + test modu</t>
  </si>
  <si>
    <t>Motor nameplate FLA/fren durumu</t>
  </si>
  <si>
    <t>24 VDC kumanda yükleri</t>
  </si>
  <si>
    <t>UL Listed PSU çıkışı</t>
  </si>
  <si>
    <t>Gerçek 24 VDC yük toplamı</t>
  </si>
  <si>
    <t>Ön besleme akımı</t>
  </si>
  <si>
    <t>A</t>
  </si>
  <si>
    <t>NEC/NFPA motor feeder yaklaşımıyla ön değer</t>
  </si>
  <si>
    <t>Nihai: nameplate FLA + OCPD kuralları</t>
  </si>
  <si>
    <t>Önerilen ana ayırıcı/kesici aday akımı</t>
  </si>
  <si>
    <t>25 A altına düşürülmedi; UL 489 / UL 98 koordinasyonu</t>
  </si>
  <si>
    <t>Kesin seçim SCCR ve inrush ile</t>
  </si>
  <si>
    <t>BRANŞ KORUMA VE KABLO ÖN SEÇİMİ</t>
  </si>
  <si>
    <t>Devre</t>
  </si>
  <si>
    <t>Ön OCPD / starter</t>
  </si>
  <si>
    <t>Termik / kontrol</t>
  </si>
  <si>
    <t>İç pano kablosu</t>
  </si>
  <si>
    <t>Saha kablosu</t>
  </si>
  <si>
    <t>PE</t>
  </si>
  <si>
    <t>Şart</t>
  </si>
  <si>
    <t>Karar</t>
  </si>
  <si>
    <t>Ana besleme</t>
  </si>
  <si>
    <t>3P 25 A UL 489 kesici + kilitlenebilir UL 98 ayırıcı</t>
  </si>
  <si>
    <t>10 AWG Cu MTW/THHN</t>
  </si>
  <si>
    <t>10 AWG Cu (ön)</t>
  </si>
  <si>
    <t>10 AWG Cu</t>
  </si>
  <si>
    <t>75°C terminal, SCCR/AIR teyidi</t>
  </si>
  <si>
    <t>ÖN SEÇİM</t>
  </si>
  <si>
    <t>Pompa 3,7 kW varsayım</t>
  </si>
  <si>
    <t>UL 489 motor branch OCPD + UL starter</t>
  </si>
  <si>
    <t>OL ayarı = nameplate FLA</t>
  </si>
  <si>
    <t>14 AWG Cu MTW</t>
  </si>
  <si>
    <t>14 AWG Cu (FLA uygunsa)</t>
  </si>
  <si>
    <t>14 AWG Cu</t>
  </si>
  <si>
    <t>125% motor iletkeni; hp/FLA tablosu</t>
  </si>
  <si>
    <t>NAMEPLATE BEKLENİYOR</t>
  </si>
  <si>
    <t>Isıtıcı 8,25 kW</t>
  </si>
  <si>
    <t>3P 15 A UL 489 aday + 3P kontaktör</t>
  </si>
  <si>
    <t>Yüksek limit termostat + seviye interlock</t>
  </si>
  <si>
    <t>12 AWG Cu MTW</t>
  </si>
  <si>
    <t>12 AWG Cu</t>
  </si>
  <si>
    <t>Sürekli yükte 125%; kontaktör resistive rating</t>
  </si>
  <si>
    <t>Yağ sıyırıcı 0,09 kW</t>
  </si>
  <si>
    <t>UL motor branch koruma</t>
  </si>
  <si>
    <t>Küçük motor kuralları/nameplate</t>
  </si>
  <si>
    <t>Sepet motoru 0,18 kW</t>
  </si>
  <si>
    <t>Sıkışma riski ve test modu</t>
  </si>
  <si>
    <t>24 VDC güç kaynağı girişi</t>
  </si>
  <si>
    <t>1P/2P UL 489 veya izinli koruma</t>
  </si>
  <si>
    <t>PSU üretici tavsiyesi</t>
  </si>
  <si>
    <t>16 AWG Cu MTW</t>
  </si>
  <si>
    <t>480 V girişli PSU veya kontrol trafosu sonrası</t>
  </si>
  <si>
    <t>SEÇİLECEK</t>
  </si>
  <si>
    <t>24 VDC kumanda çıkışları</t>
  </si>
  <si>
    <t>UL 1077 ek koruma / sınıf uygunluğu</t>
  </si>
  <si>
    <t>2 A tipik kol koruması</t>
  </si>
  <si>
    <t>18 AWG Cu MTW</t>
  </si>
  <si>
    <t>18 AWG Cu</t>
  </si>
  <si>
    <t>Acil stop/guard devresi ayrı ve izlenebilir</t>
  </si>
  <si>
    <t>Termokupl ETB30F06-2Ç</t>
  </si>
  <si>
    <t>Ayrı sigortalama gerekmez</t>
  </si>
  <si>
    <t>Uygun izole sıcaklık kontrolörü</t>
  </si>
  <si>
    <t>Üretici TC uzatma kablosu</t>
  </si>
  <si>
    <t>Aynı tip TC uzatma</t>
  </si>
  <si>
    <t>Ekran tek uçtan</t>
  </si>
  <si>
    <t>Güç kablosundan ayrı kanal</t>
  </si>
  <si>
    <t>KESİNLEŞECEK</t>
  </si>
  <si>
    <t>Kapak/sepet switch sinyalleri</t>
  </si>
  <si>
    <t>24 VDC kontrol devresi</t>
  </si>
  <si>
    <t>Debounce/diagnostic</t>
  </si>
  <si>
    <t>Ayrı kanal; safety için uygun kontak mimarisi</t>
  </si>
  <si>
    <t>KAPI ÜSTÜ KUMANDA YERLEŞİMİ — 770 × 480 mm</t>
  </si>
  <si>
    <t>Sıra</t>
  </si>
  <si>
    <t>Kapı elemanı</t>
  </si>
  <si>
    <t>Fonksiyon</t>
  </si>
  <si>
    <t>Renk / tip</t>
  </si>
  <si>
    <t>Önerilen konum</t>
  </si>
  <si>
    <t>UL/NEMA şartı</t>
  </si>
  <si>
    <t>Etiket (İngilizce)</t>
  </si>
  <si>
    <t>Enerji açma-kapama ana şalteri</t>
  </si>
  <si>
    <t>Pano izolasyonu</t>
  </si>
  <si>
    <t>Siyah kol / kırmızı-sarı zemin</t>
  </si>
  <si>
    <t>Sol üst</t>
  </si>
  <si>
    <t>UL 98 veya uygun UL 508, defeatable door interlock</t>
  </si>
  <si>
    <t>MAIN DISCONNECT</t>
  </si>
  <si>
    <t>OFF konumunda kilitlenebilir</t>
  </si>
  <si>
    <t>Acil stop</t>
  </si>
  <si>
    <t>Tehlikeli enerjiyi güvenli durdurma</t>
  </si>
  <si>
    <t>Kırmızı mantar / sarı zemin</t>
  </si>
  <si>
    <t>Üst orta</t>
  </si>
  <si>
    <t>Pozitif açmalı, Type 4X, çift kanal</t>
  </si>
  <si>
    <t>EMERGENCY STOP</t>
  </si>
  <si>
    <t>Manuel reset; otomatik restart yok</t>
  </si>
  <si>
    <t>START</t>
  </si>
  <si>
    <t>Makine çevrim başlatma</t>
  </si>
  <si>
    <t>Yeşil, anlık NO</t>
  </si>
  <si>
    <t>Orta sol</t>
  </si>
  <si>
    <t>UL 508/60947-5-1, Type 4X</t>
  </si>
  <si>
    <t>Guard sağlıklı olmadan etkisiz</t>
  </si>
  <si>
    <t>STOP</t>
  </si>
  <si>
    <t>Normal durdurma</t>
  </si>
  <si>
    <t>Kırmızı/siyah, anlık NC</t>
  </si>
  <si>
    <t>Orta</t>
  </si>
  <si>
    <t>Pozitif açma tercih</t>
  </si>
  <si>
    <t>Enerji kesilince tekrar başlamaz</t>
  </si>
  <si>
    <t>RESET</t>
  </si>
  <si>
    <t>Safety/fault reset</t>
  </si>
  <si>
    <t>Mavi, anlık NO</t>
  </si>
  <si>
    <t>Orta sağ</t>
  </si>
  <si>
    <t>Ayrı bilinçli eylem</t>
  </si>
  <si>
    <t>Tehlike bölgesi görünür noktada</t>
  </si>
  <si>
    <t>Sepet test butonu</t>
  </si>
  <si>
    <t>Bakım/test jog</t>
  </si>
  <si>
    <t>Siyah, basılı tutmalı</t>
  </si>
  <si>
    <t>Alt sol</t>
  </si>
  <si>
    <t>Hold-to-run; yetkili mod; düşük risk</t>
  </si>
  <si>
    <t>BASKET TEST / JOG</t>
  </si>
  <si>
    <t>Kapak bypass yapılamaz</t>
  </si>
  <si>
    <t>Yağ sıyırıcı butonu</t>
  </si>
  <si>
    <t>Sıyırıcı aç/kapat</t>
  </si>
  <si>
    <t>2 konumlu seçici</t>
  </si>
  <si>
    <t>Alt orta</t>
  </si>
  <si>
    <t>Type 4X seçici</t>
  </si>
  <si>
    <t>OIL SKIMMER OFF/ON</t>
  </si>
  <si>
    <t>Risk analizine göre guard zinciri</t>
  </si>
  <si>
    <t>Isıtıcı aç/kapat</t>
  </si>
  <si>
    <t>Isıtma izni</t>
  </si>
  <si>
    <t>2 konumlu seçici, amber lamba</t>
  </si>
  <si>
    <t>Alt sağ</t>
  </si>
  <si>
    <t>Type 4X; kontaktör geri bildirimi</t>
  </si>
  <si>
    <t>HEATER OFF/ON</t>
  </si>
  <si>
    <t>Seviye ve kapak interlock zorunlu</t>
  </si>
  <si>
    <t>İÇ YERLEŞİM ZONLARI</t>
  </si>
  <si>
    <t>Zone</t>
  </si>
  <si>
    <t>Konum</t>
  </si>
  <si>
    <t>Eleman grubu</t>
  </si>
  <si>
    <t>Ayrım</t>
  </si>
  <si>
    <t>Yaklaşık alan</t>
  </si>
  <si>
    <t>Isı / servis</t>
  </si>
  <si>
    <t>Kablo kanalı</t>
  </si>
  <si>
    <t>Kritik not</t>
  </si>
  <si>
    <t>Z1</t>
  </si>
  <si>
    <t>Üst sol</t>
  </si>
  <si>
    <t>Ana ayırıcı + ana UL 489 kesici</t>
  </si>
  <si>
    <t>480 V güç</t>
  </si>
  <si>
    <t>Hat tarafı finger-safe</t>
  </si>
  <si>
    <t>Güç kanalı</t>
  </si>
  <si>
    <t>Kapı kolu mekanizmasına boşluk</t>
  </si>
  <si>
    <t>Z2</t>
  </si>
  <si>
    <t>Branş kesicileri / sigortalar</t>
  </si>
  <si>
    <t>Etiket ve müdahale payı</t>
  </si>
  <si>
    <t>AIR/SCCR ürün kombinasyonu</t>
  </si>
  <si>
    <t>Z3</t>
  </si>
  <si>
    <t>Üst sağ</t>
  </si>
  <si>
    <t>24 VDC PSU / kontrol trafosu</t>
  </si>
  <si>
    <t>Güç-kontrol sınırı</t>
  </si>
  <si>
    <t>Üretici havalandırma mesafesi</t>
  </si>
  <si>
    <t>Ayrı kanal</t>
  </si>
  <si>
    <t>Primer/sekonder koruma</t>
  </si>
  <si>
    <t>Z4</t>
  </si>
  <si>
    <t>Pompa starter + termik</t>
  </si>
  <si>
    <t>Motor güç</t>
  </si>
  <si>
    <t>Kontaktör ark/ısı mesafesi</t>
  </si>
  <si>
    <t>Nameplate FLA ayarı</t>
  </si>
  <si>
    <t>Z5</t>
  </si>
  <si>
    <t>Orta orta</t>
  </si>
  <si>
    <t>Isıtıcı kontaktörü + yüksek limit</t>
  </si>
  <si>
    <t>Rezistif güç</t>
  </si>
  <si>
    <t>Isı yayılımı kontrolü</t>
  </si>
  <si>
    <t>Resistive rating ve geri bildirim</t>
  </si>
  <si>
    <t>Z6</t>
  </si>
  <si>
    <t>Safety rölesi + interface röleler</t>
  </si>
  <si>
    <t>24 VDC kontrol</t>
  </si>
  <si>
    <t>Safety erişilebilir</t>
  </si>
  <si>
    <t>Kontrol kanalı</t>
  </si>
  <si>
    <t>RSB röle safety rölesi değildir</t>
  </si>
  <si>
    <t>Z7</t>
  </si>
  <si>
    <t>Terminal blokları — saha güç</t>
  </si>
  <si>
    <t>Saha çıkış</t>
  </si>
  <si>
    <t>Bükülme yarıçapı</t>
  </si>
  <si>
    <t>PE terminali her kablo girişine yakın</t>
  </si>
  <si>
    <t>Z8</t>
  </si>
  <si>
    <t>Terminal blokları — sensör/TC</t>
  </si>
  <si>
    <t>Düşük seviye</t>
  </si>
  <si>
    <t>EMC ayrımı</t>
  </si>
  <si>
    <t>Kontrol/TC kanalı</t>
  </si>
  <si>
    <t>TC kablosu güçten ayrı</t>
  </si>
  <si>
    <t>GENEL</t>
  </si>
  <si>
    <t>Montaj plakası/kapı</t>
  </si>
  <si>
    <t>PE barası + kapı bonding</t>
  </si>
  <si>
    <t>Koruma</t>
  </si>
  <si>
    <t>Bakım boşluğu</t>
  </si>
  <si>
    <t>Boya/oksit altından güvenilir bonding</t>
  </si>
  <si>
    <t>MAKİNE BİLEŞENLERİ VE PANO BOM EKLERİ</t>
  </si>
  <si>
    <t>Kullanıcı bileşeni</t>
  </si>
  <si>
    <t>Pano bağlantısı</t>
  </si>
  <si>
    <t>Kontrol gerilimi</t>
  </si>
  <si>
    <t>UL kararı</t>
  </si>
  <si>
    <t>Gerekli ilave pano elemanı</t>
  </si>
  <si>
    <t>Açıklama</t>
  </si>
  <si>
    <t>POMPA GOULDS GCEA 370/3 480V/60HZ</t>
  </si>
  <si>
    <t>3P motor starter çıkışı</t>
  </si>
  <si>
    <t>480 V güç / 24 VDC bobin</t>
  </si>
  <si>
    <t>Belge teyidi</t>
  </si>
  <si>
    <t>UL Listed/Recognized kontaktör+OL+OCPD</t>
  </si>
  <si>
    <t>Nameplate hp, FLA, SF ve UL dosyası</t>
  </si>
  <si>
    <t>REZİSTANS KOMPLESİ 8250W M TİPİ</t>
  </si>
  <si>
    <t>3P ısıtıcı kontaktörü çıkışı</t>
  </si>
  <si>
    <t>15 A aday branch OCPD, resistive contactor, high-limit</t>
  </si>
  <si>
    <t>Ground fault ihtiyacı risk/yerel kurala göre</t>
  </si>
  <si>
    <t>TERMOKUPL ETB30F06-2Ç</t>
  </si>
  <si>
    <t>Sıcaklık kontrolörü girişi</t>
  </si>
  <si>
    <t>mV sensör</t>
  </si>
  <si>
    <t>Belge/uyumluluk teyidi</t>
  </si>
  <si>
    <t>UL uygun kontrolör + bağımsız high-limit</t>
  </si>
  <si>
    <t>TC tipi ve polarite teyidi</t>
  </si>
  <si>
    <t>Paslanmaz seviye bekçisi</t>
  </si>
  <si>
    <t>24 VDC giriş / güvenli ara röle</t>
  </si>
  <si>
    <t>24 VDC tercih</t>
  </si>
  <si>
    <t>Model gerekli</t>
  </si>
  <si>
    <t>UL uygun seviye kontrolörü</t>
  </si>
  <si>
    <t>Düşük seviyede ısıtıcı ve kuru çalışma engeli</t>
  </si>
  <si>
    <t>SWITCH L5K13MEP123 1NO 1NC</t>
  </si>
  <si>
    <t>Sepet pozisyon girişi</t>
  </si>
  <si>
    <t>24 VDC</t>
  </si>
  <si>
    <t>UL dosyası teyidi</t>
  </si>
  <si>
    <t>Terminal/interface gerekirse</t>
  </si>
  <si>
    <t>Sepet pozisyonlama; safety fonksiyonuysa safety-rated seç</t>
  </si>
  <si>
    <t>SWITCH L5K27MUM331 2NO 1NC</t>
  </si>
  <si>
    <t>Kapak kapalı bilgisi</t>
  </si>
  <si>
    <t>Tek başına safety kabul edilmez</t>
  </si>
  <si>
    <t>Safety rölesi giriş mimarisi</t>
  </si>
  <si>
    <t>Pozitif açma ve B10d/PL verisi doğrulanmalı</t>
  </si>
  <si>
    <t>AMORTİSÖR 1000N</t>
  </si>
  <si>
    <t>Elektrik bağlantısı yok</t>
  </si>
  <si>
    <t>Mekanik</t>
  </si>
  <si>
    <t>Kapak tutma güvenliği ayrıca mekanik risk analizi</t>
  </si>
  <si>
    <t>REDÜKTÖR MOTORU 0,09KW B14 + REDÜKTÖR EN:30 I:80 B:05</t>
  </si>
  <si>
    <t>Yağ sıyırıcı starter çıkışı</t>
  </si>
  <si>
    <t>Motor etiketi</t>
  </si>
  <si>
    <t>Motor OCPD+contactor+OL</t>
  </si>
  <si>
    <t>1500 d/d; nameplate FLA gerekli</t>
  </si>
  <si>
    <t>REDÜKTÖR MOTORU 0,18KW B34 + REDÜKTÖR EN:40 I:12 B:06</t>
  </si>
  <si>
    <t>Sepet starter çıkışı</t>
  </si>
  <si>
    <t>1500 d/d; sıkışma/jog güvenliği</t>
  </si>
  <si>
    <t>İNTERLOCK D4NL4AFAB OMRON + RSB2A080P7 + RSZE1S48M</t>
  </si>
  <si>
    <t>Çift kanal guard lock / izleme</t>
  </si>
  <si>
    <t>24 VDC sürüm tercih</t>
  </si>
  <si>
    <t>D4NL exact model ve kontak dizilimi teyidi</t>
  </si>
  <si>
    <t>Safety rölesi + uygun solenoid koruma + EDM</t>
  </si>
  <si>
    <t>RSB2A080P7 yalnız arayüz rölesi; güvenlik mantığının tek elemanı olamaz</t>
  </si>
  <si>
    <t>EMNİYET / KUMANDA FONKSİYONLARI</t>
  </si>
  <si>
    <t>Girişler</t>
  </si>
  <si>
    <t>Mantık</t>
  </si>
  <si>
    <t>Kesilecek çıkışlar</t>
  </si>
  <si>
    <t>Reset</t>
  </si>
  <si>
    <t>Tanılama</t>
  </si>
  <si>
    <t>Asgari mimari</t>
  </si>
  <si>
    <t>Acil durdurma</t>
  </si>
  <si>
    <t>Çift kanallı E-stop NC</t>
  </si>
  <si>
    <t>Kanallar tutarlı + manuel reset</t>
  </si>
  <si>
    <t>Pompa, sepet, ısıtıcı; gerekirse sıyırıcı</t>
  </si>
  <si>
    <t>Ayrı RESET</t>
  </si>
  <si>
    <t>Kontaktör EDM</t>
  </si>
  <si>
    <t>Risk analizine göre PLr/SIL; safety relay</t>
  </si>
  <si>
    <t>Stop category risk analiziyle</t>
  </si>
  <si>
    <t>Kapak açık</t>
  </si>
  <si>
    <t>D4NL çift kanal + kapak switch izleme</t>
  </si>
  <si>
    <t>Kapak kapalı/kilitli değilse start engeli</t>
  </si>
  <si>
    <t>Pompa, sepet, ısıtıcı</t>
  </si>
  <si>
    <t>Kapak kapanınca otomatik restart yok</t>
  </si>
  <si>
    <t>Kilit ve kontaktör feedback</t>
  </si>
  <si>
    <t>Safety relay + positive guided outputs</t>
  </si>
  <si>
    <t>Tehlike bitmeden kilit açılmaz</t>
  </si>
  <si>
    <t>Düşük su seviyesi</t>
  </si>
  <si>
    <t>Seviye düşükse ısıtma ve kuru çalışma engeli</t>
  </si>
  <si>
    <t>Isıtıcı; proses gerekirse pompa</t>
  </si>
  <si>
    <t>Seviye sonrası operatör reset/yeniden start</t>
  </si>
  <si>
    <t>Seviye arızası alarmı</t>
  </si>
  <si>
    <t>Fail-safe yaklaşım</t>
  </si>
  <si>
    <t>Sensör arızası güvenli duruma götürmeli</t>
  </si>
  <si>
    <t>Aşırı sıcaklık</t>
  </si>
  <si>
    <t>Kontrol TC + bağımsız high-limit</t>
  </si>
  <si>
    <t>Limit aşımında latch-off</t>
  </si>
  <si>
    <t>Isıtıcı kontaktörü</t>
  </si>
  <si>
    <t>Manuel reset</t>
  </si>
  <si>
    <t>Kontaktör feedback</t>
  </si>
  <si>
    <t>Bağımsız limit cihazı</t>
  </si>
  <si>
    <t>Yazılım termostatı tek koruma değil</t>
  </si>
  <si>
    <t>Sepet test/jog</t>
  </si>
  <si>
    <t>Kapak kilitli + basılı tutmalı buton</t>
  </si>
  <si>
    <t>Sadece buton basılıyken hareket</t>
  </si>
  <si>
    <t>Sepet motoru</t>
  </si>
  <si>
    <t>Butonu bırakınca durur</t>
  </si>
  <si>
    <t>Pozisyon switch</t>
  </si>
  <si>
    <t>Yetkili test modu</t>
  </si>
  <si>
    <t>Normal çevrimi bypass etmez</t>
  </si>
  <si>
    <t>Enerji geri gelmesi</t>
  </si>
  <si>
    <t>Undervoltage/no-voltage release</t>
  </si>
  <si>
    <t>Otomatik restart yasak</t>
  </si>
  <si>
    <t>Tüm otomatik çıkışlar</t>
  </si>
  <si>
    <t>START gerekir</t>
  </si>
  <si>
    <t>Power restore flag</t>
  </si>
  <si>
    <t>3-wire control</t>
  </si>
  <si>
    <t>Isıtıcı OFF talebi korunmalı</t>
  </si>
  <si>
    <t>Faz hatası</t>
  </si>
  <si>
    <t>Faz sırası/kayıp rölesi</t>
  </si>
  <si>
    <t>Hata varsa start engeli</t>
  </si>
  <si>
    <t>Motor starterları/ısıtıcı izin</t>
  </si>
  <si>
    <t>Hata gider + reset</t>
  </si>
  <si>
    <t>Faz alarmı</t>
  </si>
  <si>
    <t>UL uygun cihaz</t>
  </si>
  <si>
    <t>480 V delta/Y uyumu</t>
  </si>
  <si>
    <t>Isıtıcı talebi</t>
  </si>
  <si>
    <t>Seçici + PID/termostat + seviye + guard</t>
  </si>
  <si>
    <t>Tüm izinler seri mantık</t>
  </si>
  <si>
    <t>Arızada reset</t>
  </si>
  <si>
    <t>K kontaktör feedback</t>
  </si>
  <si>
    <t>24 VDC coil contactor</t>
  </si>
  <si>
    <t>SSR kullanılırsa uygun heatsink/branch protection</t>
  </si>
  <si>
    <t>Yağ sıyırıcı</t>
  </si>
  <si>
    <t>ON/OFF seçici + OL sağlıklı</t>
  </si>
  <si>
    <t>Sadece izin koşullarında</t>
  </si>
  <si>
    <t>Sıyırıcı motor starter</t>
  </si>
  <si>
    <t>OFF/ON</t>
  </si>
  <si>
    <t>OL alarmı</t>
  </si>
  <si>
    <t>Motor starter</t>
  </si>
  <si>
    <t>Kapak dışı risk varsa guard zincirine dahil</t>
  </si>
  <si>
    <t>UL 508A / NFPA 79 İMALAT KONTROL ŞARTLARI</t>
  </si>
  <si>
    <t>Kontrol konusu</t>
  </si>
  <si>
    <t>Zorunlu tasarım/imalat şartı</t>
  </si>
  <si>
    <t>Kanıt</t>
  </si>
  <si>
    <t>Durum</t>
  </si>
  <si>
    <t>Sorumlu</t>
  </si>
  <si>
    <t>Kapanış kriteri</t>
  </si>
  <si>
    <t>UL etiket yolu</t>
  </si>
  <si>
    <t>Yetkili UL 508A panel shop veya NRTL field evaluation</t>
  </si>
  <si>
    <t>Yetki/rapor</t>
  </si>
  <si>
    <t>AÇIK</t>
  </si>
  <si>
    <t>Proje</t>
  </si>
  <si>
    <t>Sipariş öncesi seçildi</t>
  </si>
  <si>
    <t>UL işareti kendiliğinden uygulanamaz</t>
  </si>
  <si>
    <t>Şebeke topolojisi</t>
  </si>
  <si>
    <t>480Y/277 V 4-wire veya 480 V delta 3-wire teyidi</t>
  </si>
  <si>
    <t>Müşteri utility datası</t>
  </si>
  <si>
    <t>Müşteri</t>
  </si>
  <si>
    <t>Yazılı onay</t>
  </si>
  <si>
    <t>Cihaz gerilim sınıfını etkiler</t>
  </si>
  <si>
    <t>Available fault current</t>
  </si>
  <si>
    <t>Bağlantı noktasındaki kA RMS alınmalı</t>
  </si>
  <si>
    <t>Tesis kısa devre raporu</t>
  </si>
  <si>
    <t>kA değeri girildi</t>
  </si>
  <si>
    <t>Panel SCCR ≥ tesis değeri</t>
  </si>
  <si>
    <t>SCCR</t>
  </si>
  <si>
    <t>UL 508A Supplement SB hesabı</t>
  </si>
  <si>
    <t>SCCR çalışma sayfası</t>
  </si>
  <si>
    <t>Panel shop</t>
  </si>
  <si>
    <t>Nameplate değeri belirlendi</t>
  </si>
  <si>
    <t>En zayıf güç elemanı dahil</t>
  </si>
  <si>
    <t>Muhafaza</t>
  </si>
  <si>
    <t>Paslanmaz UL Listed NEMA Type 4X; 770×480; derinlik/ısı teyidi</t>
  </si>
  <si>
    <t>Enclosure UL file</t>
  </si>
  <si>
    <t>Model seçildi</t>
  </si>
  <si>
    <t>Rakor ve operatörler ratingi korur</t>
  </si>
  <si>
    <t>Ayırıcı / branch OCPD</t>
  </si>
  <si>
    <t>UL 98/izinli ayırıcı ve UL 489/UL 248 branş koruma</t>
  </si>
  <si>
    <t>Datasheet/UL file</t>
  </si>
  <si>
    <t>Elektrik</t>
  </si>
  <si>
    <t>Gerilim, hp, AIR uygun</t>
  </si>
  <si>
    <t>UL 1077 tek başına branch değildir</t>
  </si>
  <si>
    <t>Motor verileri</t>
  </si>
  <si>
    <t>Her motor hp, FLA, SF, duty, wiring</t>
  </si>
  <si>
    <t>Nameplate fotoğrafı</t>
  </si>
  <si>
    <t>Tüm etiketler dosyada</t>
  </si>
  <si>
    <t>OL ve kablo buna göre</t>
  </si>
  <si>
    <t>Safety risk analizi</t>
  </si>
  <si>
    <t>E-stop, guard lock, stop category, PLr/SIL belirlenmeli</t>
  </si>
  <si>
    <t>Risk assessment/validation</t>
  </si>
  <si>
    <t>Safety</t>
  </si>
  <si>
    <t>Fonksiyonlar valide</t>
  </si>
  <si>
    <t>Standart röle safety rölesi değildir</t>
  </si>
  <si>
    <t>Bonding / PE</t>
  </si>
  <si>
    <t>PE barası, kapı örgü bonding, plaka ve gövde sürekliliği</t>
  </si>
  <si>
    <t>Çizim + test</t>
  </si>
  <si>
    <t>Üretim</t>
  </si>
  <si>
    <t>Süreklilik kaydı</t>
  </si>
  <si>
    <t>Boya altı bağlantı kontrolü</t>
  </si>
  <si>
    <t>İç kablolama</t>
  </si>
  <si>
    <t>UL uygun MTW/THHN, AWG, 90°C tel; ampacity 75°C terminale göre</t>
  </si>
  <si>
    <t>Wire file + kablo listesi</t>
  </si>
  <si>
    <t>Tüm teller etiketli</t>
  </si>
  <si>
    <t>Güç/TC/safety ayrımı</t>
  </si>
  <si>
    <t>İşaretleme</t>
  </si>
  <si>
    <t>İngilizce nameplate: V, phase, Hz, FLA, SCCR; warning labels</t>
  </si>
  <si>
    <t>Etiket çizimi</t>
  </si>
  <si>
    <t>Kalite</t>
  </si>
  <si>
    <t>Etiketler kalıcı</t>
  </si>
  <si>
    <t>Field wiring terminal markings</t>
  </si>
  <si>
    <t>Tork ve terminal</t>
  </si>
  <si>
    <t>UL Recognized terminaller, uygun conductor range ve tork</t>
  </si>
  <si>
    <t>Tork kayıt formu</t>
  </si>
  <si>
    <t>%100 tork kaydı</t>
  </si>
  <si>
    <t>Ferrule kullanım şartı üreticiye göre</t>
  </si>
  <si>
    <t>Testler</t>
  </si>
  <si>
    <t>PE continuity, dielectric/insulation, function, phase, E-stop/guard</t>
  </si>
  <si>
    <t>FAT formu</t>
  </si>
  <si>
    <t>Seri no ile arşiv</t>
  </si>
  <si>
    <t>NRTL/panel shop prosedürü öncelikli</t>
  </si>
  <si>
    <t>Dokümantasyon</t>
  </si>
  <si>
    <t>Tek hat, güç/kontrol şeması, BOM, terminal, cable list, manuals</t>
  </si>
  <si>
    <t>As-built paket</t>
  </si>
  <si>
    <t>İngilizce teslim</t>
  </si>
  <si>
    <t>Revizyon kontrolü</t>
  </si>
  <si>
    <t>KRİTİK SINIR: Kesici, kontaktör, termik, kablo ve SCCR değerleri; pompa/küçük motor isim levhaları, ısıtıcı bağlantı şekli, şebeke topolojisi ve tesis available fault current alınmadan imalata bırakılmamalıdır.</t>
  </si>
  <si>
    <t>UL UYUMLU ÖNERİLEN PANO MALZEME LİSTESİ — SATIN ALMA ÖN BOM</t>
  </si>
  <si>
    <t>DEVRE KARARI: Pompa ve iki redüktör motoru için kontaktör + ayarlanabilir motor koruma şalteri (MKŞ/MPCB) kullanılacaktır. 8,25 kW ısıtıcı için kontaktör tek başına koruma değildir: ayrı 3 kutuplu UL 489 branş kesici veya uygun UL 248 sigorta zorunludur; ayrıca düşük seviye kilidi ve manuel resetli bağımsız yüksek sıcaklık limiti bulunmalıdır. Aşağıdaki akım aralıkları hesap ön seçimidir; motor isim levhası FLA, şebeke topolojisi, tesis AFC ve panel SCCR doğrulanmadan sipariş kesinleştirilmez.</t>
  </si>
  <si>
    <t>Devre / grup</t>
  </si>
  <si>
    <t>Ürün işlevi</t>
  </si>
  <si>
    <t>Önerilen ürün / model</t>
  </si>
  <si>
    <t>Temel rating / belge</t>
  </si>
  <si>
    <t>Seçim durumu</t>
  </si>
  <si>
    <t>Kesinleştirme şartı</t>
  </si>
  <si>
    <t>Paslanmaz pano gövdesi</t>
  </si>
  <si>
    <t>Hammond EN4SD30208SS — 30×20×8 in; 304 SS</t>
  </si>
  <si>
    <t>UL File E65324; UL 508A Type 3R/4/4X/12; IP66</t>
  </si>
  <si>
    <t>YAKIN STOK ÖLÇÜ</t>
  </si>
  <si>
    <t>762×508×203 mm; 770×480 kesin ise UL Listed özel imalat/başka model seç</t>
  </si>
  <si>
    <t>İç montaj plakası</t>
  </si>
  <si>
    <t>Hammond EP3020 veya gövdeyle onaylı eşdeğer</t>
  </si>
  <si>
    <t>Üretici aksesuarı</t>
  </si>
  <si>
    <t>Gövde ve genişlik şartıyla eşleştir</t>
  </si>
  <si>
    <t>Kapı kumandalı ana ayırıcı</t>
  </si>
  <si>
    <t>Schneider 9422TCN30</t>
  </si>
  <si>
    <t>30 A, 600 V, 15 hp @ 460 V; UL Recognized</t>
  </si>
  <si>
    <t>ÖNERİLEN</t>
  </si>
  <si>
    <t>Uyumlu NEMA 4X kol ve mil ayrıca seçilecek</t>
  </si>
  <si>
    <t>Dış kol / kapı interlock</t>
  </si>
  <si>
    <t>Schneider 9422A ailesi NEMA Type 4X kol + uygun mil</t>
  </si>
  <si>
    <t>9422TCN30 ile uyumlu</t>
  </si>
  <si>
    <t>Pano derinliği, sağ/sol flanş ve padlock şartı</t>
  </si>
  <si>
    <t>Ana UL branş/feeder kesici</t>
  </si>
  <si>
    <t>Schneider PowerPacT HGL36025</t>
  </si>
  <si>
    <t>25 A, 3P, 600 VAC; UL 489; 35 kA @ 480 V</t>
  </si>
  <si>
    <t>Tesis AFC ≤ AIR ve nihai feeder hesabı; 80% rating kontrolü</t>
  </si>
  <si>
    <t>Kontrol gücü</t>
  </si>
  <si>
    <t>Class CC sigorta tutucu</t>
  </si>
  <si>
    <t>Eaton Bussmann CHCC2DU veya UL Listed 2P Class CC eşdeğer</t>
  </si>
  <si>
    <t>600 V, finger-safe Class CC holder</t>
  </si>
  <si>
    <t>PSU üretici giriş korumasıyla eşleştir</t>
  </si>
  <si>
    <t>PSU primer sigortaları</t>
  </si>
  <si>
    <t>Eaton Bussmann LP-CC-2</t>
  </si>
  <si>
    <t>2 A, 600 VAC, 200 kA IR; UL Listed Class CC</t>
  </si>
  <si>
    <t>ABL8 primer inrush ve UL 508A panel shop hesabı</t>
  </si>
  <si>
    <t>480 V girişli 24 VDC güç kaynağı</t>
  </si>
  <si>
    <t>Schneider ABL8RPS24030</t>
  </si>
  <si>
    <t>100–500 VAC input, 24 VDC, 3 A; endüstriyel PSU</t>
  </si>
  <si>
    <t>Gerçek DC yük +%25 marj; exact UL file doğrula</t>
  </si>
  <si>
    <t>Şebeke izleme</t>
  </si>
  <si>
    <t>Faz kaybı/sırası/asimetri rölesi</t>
  </si>
  <si>
    <t>Schneider Harmony RM35TF30</t>
  </si>
  <si>
    <t>194–528 VAC 3 faz</t>
  </si>
  <si>
    <t>480Y/delta bağlantı şeması ve UL dosyası</t>
  </si>
  <si>
    <t>Emniyet</t>
  </si>
  <si>
    <t>E-stop ve kapı güvenlik rölesi</t>
  </si>
  <si>
    <t>Schneider Harmony XPSUAF13AP</t>
  </si>
  <si>
    <t>24 VAC/DC; cULus; PL e/Cat.4, SIL 3 kapasitesi</t>
  </si>
  <si>
    <t>PLr/SIL ve stop category risk analizinde doğrulanacak</t>
  </si>
  <si>
    <t>Acil stop butonu</t>
  </si>
  <si>
    <t>Schneider Harmony XB5AS8444</t>
  </si>
  <si>
    <t>2NC, pozitif açma, UL Listed, UL Type 4X/13</t>
  </si>
  <si>
    <t>Sarı zemin/legend ve çift kanal bağlantı</t>
  </si>
  <si>
    <t>Yedekli safety güç kontaktörleri KSF1/KSF2</t>
  </si>
  <si>
    <t>Schneider LC1D25BD + mirror/EDM yardımcı kontak</t>
  </si>
  <si>
    <t>25 A sınıfı, 24 VDC coil; cULus/UL ürün ailesi</t>
  </si>
  <si>
    <t>KOŞULLU</t>
  </si>
  <si>
    <t>Risk analizinde Cat.3/4 gerekiyorsa; toplam yük ve SCCR kombinasyonu</t>
  </si>
  <si>
    <t>Pompa</t>
  </si>
  <si>
    <t>Ayarlanabilir motor koruma şalteri</t>
  </si>
  <si>
    <t>Schneider TeSys GV2P14</t>
  </si>
  <si>
    <t>6–10 A termik-manyetik; UL 508 motor protector</t>
  </si>
  <si>
    <t>Yalnız pompa nameplate FLA 6–10 A ise; Type E aksesuar/spacing ve SCCR</t>
  </si>
  <si>
    <t>Pompa kontaktörü KP</t>
  </si>
  <si>
    <t>Schneider TeSys LC1D09BL</t>
  </si>
  <si>
    <t>9 A; 5 hp @ 480 VAC; düşük tüketimli 24 VDC coil; SCCR kombinasyonlu</t>
  </si>
  <si>
    <t>GCEA gerçek hp/FLA ve GV2 kombinasyon tablosu</t>
  </si>
  <si>
    <t>Kontaktör geri bildirim/y yardımcı kontak</t>
  </si>
  <si>
    <t>Schneider LADN11</t>
  </si>
  <si>
    <t>1NO+1NC; TeSys D aksesuar</t>
  </si>
  <si>
    <t>LC1D09 ile exact uyumluluk</t>
  </si>
  <si>
    <t>Isıtıcı</t>
  </si>
  <si>
    <t>Ayrı ısıtıcı branş kesici</t>
  </si>
  <si>
    <t>Schneider PowerPacT HGL36015</t>
  </si>
  <si>
    <t>15 A, 3P, 600 VAC; UL 489; 35 kA @ 480 V</t>
  </si>
  <si>
    <t>GEREKLİ</t>
  </si>
  <si>
    <t>9,92 A yük ×125%=12,4 A; terminal/AIR/SCCR doğrula</t>
  </si>
  <si>
    <t>Rezistif yük kontaktörü KH</t>
  </si>
  <si>
    <t>Schneider TeSys LC1D18BD</t>
  </si>
  <si>
    <t>24 VDC coil; AC-1/resistive rating yükten büyük</t>
  </si>
  <si>
    <t>480 V resistive rating ve sıcaklık derating datasheet kontrolü</t>
  </si>
  <si>
    <t>Kontaktör feedback yardımcı kontak</t>
  </si>
  <si>
    <t>1NO+1NC</t>
  </si>
  <si>
    <t>Welded contact diagnostic / heater alarm</t>
  </si>
  <si>
    <t>Isıtıcı kontrolü</t>
  </si>
  <si>
    <t>PID sıcaklık kontrolörü</t>
  </si>
  <si>
    <t>Watlow PM PLUS — 24 V AC/DC, TC input, relay/SSR output konfigürasyonu</t>
  </si>
  <si>
    <t>Seçili modeller UL Listed/CSA/FM; thermocouple input</t>
  </si>
  <si>
    <t>KONFİGÜRE EDİLECEK</t>
  </si>
  <si>
    <t>ETB30F06-2Ç termokupl tipi, çıkış tipi ve panel kesiti</t>
  </si>
  <si>
    <t>Isıtıcı emniyeti</t>
  </si>
  <si>
    <t>Bağımsız manuel reset high-limit</t>
  </si>
  <si>
    <t>Watlow PM PLUS dedicated limit veya UL/FM limit controller</t>
  </si>
  <si>
    <t>Bağımsız limit çıkışı; manual reset</t>
  </si>
  <si>
    <t>PID'den bağımsız sensör/limit mimarisi risk analizine göre</t>
  </si>
  <si>
    <t>Motor koruma şalteri</t>
  </si>
  <si>
    <t>Schneider TeSys GV2P02</t>
  </si>
  <si>
    <t>0,16–0,25 A termik-manyetik</t>
  </si>
  <si>
    <t>0,09 kW motor nameplate FLA bu aralıkta olmalı</t>
  </si>
  <si>
    <t>Motor kontaktörü KO</t>
  </si>
  <si>
    <t>24 VDC coil; 3P</t>
  </si>
  <si>
    <t>Motor hp/FLA ve GV2 starter kombinasyonu</t>
  </si>
  <si>
    <t>Sepet</t>
  </si>
  <si>
    <t>Schneider TeSys GV2P04</t>
  </si>
  <si>
    <t>0,40–0,63 A termik-manyetik</t>
  </si>
  <si>
    <t>0,18 kW motor nameplate FLA bu aralıkta olmalı</t>
  </si>
  <si>
    <t>Motor kontaktörü KB</t>
  </si>
  <si>
    <t>Motor hp/FLA, sıkışma ve jog duty</t>
  </si>
  <si>
    <t>Seviye</t>
  </si>
  <si>
    <t>Seviye kontrol rölesi</t>
  </si>
  <si>
    <t>Schneider Harmony RM35LM33MW</t>
  </si>
  <si>
    <t>24–240 VAC/DC level control family</t>
  </si>
  <si>
    <t>Paslanmaz seviye bekçisinin elektrot/PNP/float çıkış tipiyle uyumluluk</t>
  </si>
  <si>
    <t>Kapak interlock</t>
  </si>
  <si>
    <t>Guard-lock safety switch</t>
  </si>
  <si>
    <t>Omron D4NL-4AFA-B</t>
  </si>
  <si>
    <t>1NC/1NO + 1NC/1NO slow-action; 24 VDC lock/release model</t>
  </si>
  <si>
    <t>KULLANILABİLİR</t>
  </si>
  <si>
    <t>Kilit mantığı, anahtar, kontak dizilimi ve UL/CSA etiketi exact kontrol</t>
  </si>
  <si>
    <t>Arayüz rölesi — 24 VDC muadil</t>
  </si>
  <si>
    <t>Schneider RSB2A080BD</t>
  </si>
  <si>
    <t>2CO, 8 A, 24 VDC; UL 508/CSA</t>
  </si>
  <si>
    <t>DEĞİŞTİR</t>
  </si>
  <si>
    <t>Verilen RSB2A080P7 = 230 VAC; 24 VDC panoda kullanılmamalı</t>
  </si>
  <si>
    <t>RSB röle soketi</t>
  </si>
  <si>
    <t>Schneider RSZE1S48M</t>
  </si>
  <si>
    <t>RSB soketi, vidalı terminal</t>
  </si>
  <si>
    <t>RSB2A080BD kombinasyonunu UL dosyasında doğrula</t>
  </si>
  <si>
    <t>Operatör</t>
  </si>
  <si>
    <t>START butonu</t>
  </si>
  <si>
    <t>Schneider Harmony XB5AA31</t>
  </si>
  <si>
    <t>Yeşil, anlık 1NO; 22 mm; UL ürün ailesi</t>
  </si>
  <si>
    <t>Type 4X rating ve İngilizce legend</t>
  </si>
  <si>
    <t>STOP butonu</t>
  </si>
  <si>
    <t>Schneider Harmony XB5AA42N</t>
  </si>
  <si>
    <t>Kırmızı, anlık 1NC; 22 mm</t>
  </si>
  <si>
    <t>Exact ABD katalog kodu ve Type 4X rating</t>
  </si>
  <si>
    <t>RESET butonu</t>
  </si>
  <si>
    <t>Schneider Harmony XB5AA61</t>
  </si>
  <si>
    <t>Mavi, anlık 1NO; 22 mm</t>
  </si>
  <si>
    <t>Monitored reset safety relay bağlantısı</t>
  </si>
  <si>
    <t>Sepet test/jog butonu</t>
  </si>
  <si>
    <t>Schneider Harmony XB5AA21</t>
  </si>
  <si>
    <t>Siyah, anlık 1NO; hold-to-run</t>
  </si>
  <si>
    <t>Yetkili test modu; kapak safety bypass yok</t>
  </si>
  <si>
    <t>Yağ sıyırıcı OFF/ON seçici</t>
  </si>
  <si>
    <t>Schneider Harmony XB5AD21</t>
  </si>
  <si>
    <t>2 pozisyon kalıcı, 1NO</t>
  </si>
  <si>
    <t>Type 4X ve legend</t>
  </si>
  <si>
    <t>Isıtıcı OFF/ON aydınlatmalı seçici</t>
  </si>
  <si>
    <t>Schneider Harmony XB5AK125B5</t>
  </si>
  <si>
    <t>24 VAC/DC, amber, 2 pozisyon, 1NO+1NC</t>
  </si>
  <si>
    <t>Kontak/renk exact sipariş teyidi</t>
  </si>
  <si>
    <t>Durum lambaları</t>
  </si>
  <si>
    <t>Harmony XB5 24 VDC LED: POWER beyaz, RUN yeşil, FAULT kırmızı</t>
  </si>
  <si>
    <t>22 mm, UL Type 4X ürün ailesi</t>
  </si>
  <si>
    <t>Exact renk/kod ve legend</t>
  </si>
  <si>
    <t>Terminaller</t>
  </si>
  <si>
    <t>Güç/kontrol geçiş klemensleri</t>
  </si>
  <si>
    <t>Phoenix Contact UK 5 N — 3004362 veya UL Recognized eşdeğer</t>
  </si>
  <si>
    <t>600 V sınıfı uygulamaya göre; UL Recognized</t>
  </si>
  <si>
    <t>ADET ÖN</t>
  </si>
  <si>
    <t>Devre sayısı, AWG aralığı, jumper ve SCCR koşulu</t>
  </si>
  <si>
    <t>PE klemensleri / PE barası</t>
  </si>
  <si>
    <t>Phoenix Contact USLKG/UT-PE ailesi veya UL Recognized eşdeğer</t>
  </si>
  <si>
    <t>Yeşil-sarı PE; DIN ray bonding</t>
  </si>
  <si>
    <t>Saha kablo sayısı + kapı/plaka bonding</t>
  </si>
  <si>
    <t>Montaj</t>
  </si>
  <si>
    <t>DIN ray + kanal + uç tutucular</t>
  </si>
  <si>
    <t>35 mm DIN rail; UL 94 V-0 wiring duct; end clamps</t>
  </si>
  <si>
    <t>Pano içi endüstriyel aksesuar</t>
  </si>
  <si>
    <t>SET</t>
  </si>
  <si>
    <t>Yerleşim ve doluluk hesabı</t>
  </si>
  <si>
    <t>Kablo giriş</t>
  </si>
  <si>
    <t>Yıkama ortamı kablo rakorları</t>
  </si>
  <si>
    <t>UL Listed Type 4X/IP69K stainless/polyamide glands</t>
  </si>
  <si>
    <t>Type 4X ratingi korur</t>
  </si>
  <si>
    <t>Kablo dış çapı ve giriş planına göre</t>
  </si>
  <si>
    <t>İç kablo</t>
  </si>
  <si>
    <t>Güç/kumanda/TC iletkenleri</t>
  </si>
  <si>
    <t>UL MTW/THHN Cu: ana 10 AWG; heater 12 AWG; motors 14 AWG; control 18 AWG; TC extension exact type</t>
  </si>
  <si>
    <t>UL wire type; 90°C insulation, ampacity terminal ratingine göre</t>
  </si>
  <si>
    <t>Nihai FLA, terminal sıcaklığı, derating ve saha kablosu hesabı</t>
  </si>
  <si>
    <t>SEÇİM / SİPARİŞ KİLİTLERİ</t>
  </si>
  <si>
    <t>Pompa starterı</t>
  </si>
  <si>
    <t>GV2P14 + LC1D09BL yalnız pompa nameplate FLA 6–10 A ve 5 hp/480 V sınırları içindeyse kullanılır.</t>
  </si>
  <si>
    <t>Küçük motor starterları</t>
  </si>
  <si>
    <t>GV2P02 ve GV2P04 termik ayarları motor isim levhası akımına getirilir; aralık dışındaysa komşu GV2P modeli seçilir.</t>
  </si>
  <si>
    <t>Isıtıcı koruması</t>
  </si>
  <si>
    <t>Evet, ayrı branş koruması gerekir. HGL36015 adaydır; kontaktör aşırı akım/kısa devre koruması sağlamaz. Isıtıcıya motor termiği kullanılmaz.</t>
  </si>
  <si>
    <t>Düşük seviye kontağı, bağımsız manual-reset yüksek limit ve kapı güvenlik izni kontaktör bobin zincirinde fail-safe uygulanır.</t>
  </si>
  <si>
    <t>Safety mimarisi</t>
  </si>
  <si>
    <t>D4NL + XPSUAF13AP kullanılır; standart RSB rölesi safety logic elemanı değildir. RSB yalnız arayüz/diagnostic görevi görür.</t>
  </si>
  <si>
    <t>SCCR / AIR</t>
  </si>
  <si>
    <t>HGL kesicilerin AIR değeri ve GV2+LC1D tested combination SCCR değeri tesis AFC ile karşılaştırılmadan panel nameplate yazılmaz.</t>
  </si>
  <si>
    <t>ÜRÜN / TEKNİK REFERANSLAR</t>
  </si>
  <si>
    <t>Schneider HGL36025</t>
  </si>
  <si>
    <t>https://www.se.com/us/en/product/HGL36025/</t>
  </si>
  <si>
    <t>Schneider HGL36015</t>
  </si>
  <si>
    <t>https://www.se.com/us/en/product/HGL36015/</t>
  </si>
  <si>
    <t>https://www.se.com/us/en/product/9422TCN30/</t>
  </si>
  <si>
    <t>Schneider LC1D09BL</t>
  </si>
  <si>
    <t>https://www.se.com/us/en/product/LC1D09BL/</t>
  </si>
  <si>
    <t>Schneider XPSUAF13AP</t>
  </si>
  <si>
    <t>https://www.se.com/us/en/product/XPSUAF13AP/</t>
  </si>
  <si>
    <t>Schneider PSU range</t>
  </si>
  <si>
    <t>https://www.se.com/us/en/product-range/1535-power-supplies-for-industrial-use-rail-mounting/</t>
  </si>
  <si>
    <t>Schneider GV2 range</t>
  </si>
  <si>
    <t>https://www.se.com/us/en/product-range/684-tesys-deca-manual-starters-and-protectors-gv2/</t>
  </si>
  <si>
    <t>https://industrial.omron.eu/en/products/D4NL-4AFA-B</t>
  </si>
  <si>
    <t>Schneider RSB 24VDC</t>
  </si>
  <si>
    <t>https://www.se.com/fr/fr/product/RSB2A080BD/</t>
  </si>
  <si>
    <t>Schneider RSB 230VAC</t>
  </si>
  <si>
    <t>https://www.se.com/fr/fr/product/RSB2A080P7/</t>
  </si>
  <si>
    <t>Schneider socket</t>
  </si>
  <si>
    <t>https://www.se.com/fr/fr/product/RSZE1S48M/</t>
  </si>
  <si>
    <t>Watlow PM PLUS</t>
  </si>
  <si>
    <t>https://www.watlow.com/products/controllers/temperature-and-process-controllers/pm-plus</t>
  </si>
  <si>
    <t>Hammond Type 4X enclosure</t>
  </si>
  <si>
    <t>https://www.hammfg.com/electrical/products/stainless/en4sdss</t>
  </si>
  <si>
    <t>Eaton LP-CC-2</t>
  </si>
  <si>
    <t>https://www.eaton.com/us/en-us/skuPage.LP-CC-2.html</t>
  </si>
  <si>
    <t>Phoenix UK 5 N</t>
  </si>
  <si>
    <t>https://www.phoenixcontact.com/en-us/products/feed-through-terminal-block-uk-5-n-3004362</t>
  </si>
  <si>
    <t>Schneider RM35TF30</t>
  </si>
  <si>
    <t>https://www.se.com/fr/fr/product/RM35TF30/</t>
  </si>
  <si>
    <t>Schneider RM35LM33MW</t>
  </si>
  <si>
    <t>https://www.se.com/fr/fr/product/RM35LM33MW/</t>
  </si>
  <si>
    <t>UL panel program</t>
  </si>
  <si>
    <t>https://www.ul.com/services/industrial-control-panels-and-panel-shop-program</t>
  </si>
  <si>
    <t>UL SCCR guidance</t>
  </si>
  <si>
    <t>https://www.ul.com/resources/determining-sccr-industrial-control-panels-and-industrial-machinery</t>
  </si>
  <si>
    <t>Web adresleri teknik doğrulama içindir; siparişte güncel üretici datasheet, Product iQ/UL file ve Conditions of Acceptability kontrol edilir.</t>
  </si>
  <si>
    <t>480 × 770 mm PANO SIĞMA KONTROLÜ</t>
  </si>
  <si>
    <t>SONUÇ: Bileşenler 480 mm genişlik × 770 mm yükseklik panoya, en az 200 mm gövde derinliği ve yaklaşık 420 × 710 mm kullanılabilir montaj plakası sağlanırsa sığabilir; ancak mevcut HGL36025 + HGL36015 büyük kasalı kesiciler nedeniyle yerleşim sıkıdır ve yaklaşık %80 doluluk oluşur. UL servis boşluğu, kablo bükülme yarıçapı ve 9422 flanş ayırıcı mekanizması birlikte düşünüldüğünde üretim için daha güvenli tavsiye 600 × 800 × 250 mm Type 4X panodur. 480 × 770 ölçüsü zorunluysa kompakt UL 489 kesici/füzibl ayırıcı kombinasyonu panel shop tarafından yeniden seçilmelidir.</t>
  </si>
  <si>
    <t>Yerleşim bandı</t>
  </si>
  <si>
    <t>Elemanlar</t>
  </si>
  <si>
    <t>Tahmini genişlik</t>
  </si>
  <si>
    <t>Tahmini yükseklik</t>
  </si>
  <si>
    <t>Derinlik ihtiyacı</t>
  </si>
  <si>
    <t>Kanal/boşluk dahil</t>
  </si>
  <si>
    <t>Yerleşim notu</t>
  </si>
  <si>
    <t>Üst güç bölgesi</t>
  </si>
  <si>
    <t>9422TCN30 + HGL36025 + HGL36015</t>
  </si>
  <si>
    <t>~280 mm</t>
  </si>
  <si>
    <t>~190 mm</t>
  </si>
  <si>
    <t>≥170 mm</t>
  </si>
  <si>
    <t>~390 × 220 mm</t>
  </si>
  <si>
    <t>SIKI</t>
  </si>
  <si>
    <t>İki HGL kesici 104×163×86 mm; giriş kablosu bükülme payı kritik</t>
  </si>
  <si>
    <t>Motor starter bölgesi</t>
  </si>
  <si>
    <t>GV2P14+LC1D09, GV2P02+LC1D09, GV2P04+LC1D09</t>
  </si>
  <si>
    <t>~210 mm</t>
  </si>
  <si>
    <t>~120 mm</t>
  </si>
  <si>
    <t>≥120 mm</t>
  </si>
  <si>
    <t>~330 × 150 mm</t>
  </si>
  <si>
    <t>UYGUN</t>
  </si>
  <si>
    <t>Üç starter aynı DIN rayda; yan boşluk üretici şartına göre</t>
  </si>
  <si>
    <t>Safety / heater bölgesi</t>
  </si>
  <si>
    <t>2×LC1D25 + LC1D18 + XPSUAF13AP</t>
  </si>
  <si>
    <t>~160 mm</t>
  </si>
  <si>
    <t>~280 × 150 mm</t>
  </si>
  <si>
    <t>EDM yardımcı kontakları ve ısı ayrımı dahil</t>
  </si>
  <si>
    <t>Kontrol bölgesi</t>
  </si>
  <si>
    <t>ABL8RPS24030 + RM35TF30 + RM35LM33MW + RSB</t>
  </si>
  <si>
    <t>~150 mm</t>
  </si>
  <si>
    <t>~125 mm</t>
  </si>
  <si>
    <t>125 mm</t>
  </si>
  <si>
    <t>~270 × 155 mm</t>
  </si>
  <si>
    <t>PSU 45×125×125 mm; havalandırma boşluğu bırak</t>
  </si>
  <si>
    <t>Terminal bölgesi</t>
  </si>
  <si>
    <t>Güç, kontrol, PE ve termokupl terminalleri</t>
  </si>
  <si>
    <t>~300 mm</t>
  </si>
  <si>
    <t>~80 mm</t>
  </si>
  <si>
    <t>≥80 mm</t>
  </si>
  <si>
    <t>~390 × 110 mm</t>
  </si>
  <si>
    <t>Alt kablo girişleri ve saha kablo bükülme yarıçapı</t>
  </si>
  <si>
    <t>Kapı yüzeyi</t>
  </si>
  <si>
    <t>8 operatör + PID/limit ekranı + ana kol</t>
  </si>
  <si>
    <t>~360 mm</t>
  </si>
  <si>
    <t>~420 mm</t>
  </si>
  <si>
    <t>Kapı arkası ≥100 mm</t>
  </si>
  <si>
    <t>Operatörler arası ≥50 mm</t>
  </si>
  <si>
    <t>Ana ayırıcı kol-mil güzergâhı diğer cihazlarla çakışmamalı</t>
  </si>
  <si>
    <t>Toplam montaj</t>
  </si>
  <si>
    <t>5 yatay fonksiyon bandı</t>
  </si>
  <si>
    <t>~390 mm</t>
  </si>
  <si>
    <t>~685 mm</t>
  </si>
  <si>
    <t>≥200 mm gövde</t>
  </si>
  <si>
    <t>420 × 710 mm plaka</t>
  </si>
  <si>
    <t>SINIRDA</t>
  </si>
  <si>
    <t>Yaklaşık 25 mm üst/alt rezerv kalır; ilave ekipman için pay az</t>
  </si>
  <si>
    <t>KARAR VE ÖNERİ</t>
  </si>
  <si>
    <t>480×770×&lt;200 mm</t>
  </si>
  <si>
    <t>UYGUN DEĞİL</t>
  </si>
  <si>
    <t>9422 mekanizması, PSU ve kablo bükülme payı için derinlik yetersiz olabilir.</t>
  </si>
  <si>
    <t>480×770×200/250 mm</t>
  </si>
  <si>
    <t>KOŞULLU UYGUN</t>
  </si>
  <si>
    <t>BOM sığar; kompakt ve disiplinli 5 bantlı yerleşim, termal kontrol ve birebir CAD şablonu gerekir.</t>
  </si>
  <si>
    <t>600×800×250 mm</t>
  </si>
  <si>
    <t>TAVSİYE EDİLEN</t>
  </si>
  <si>
    <t>UL wiring space, servis erişimi, ilave terminal ve gelecekteki revizyon için güvenli marj sağlar.</t>
  </si>
  <si>
    <t>Tam 480×770 zorunluysa</t>
  </si>
  <si>
    <t>REVİZYON</t>
  </si>
  <si>
    <t>İki HGL kesici yerine panel shop onaylı kompakt UL 489 kesici veya Class CC/J füzibl branch mimarisi değerlendirilmeli.</t>
  </si>
  <si>
    <t>Sipariş öncesi</t>
  </si>
  <si>
    <t>ZORUNLU</t>
  </si>
  <si>
    <t>Seçilen gövdenin iç plaka ölçüsü, gerçek derinliği ve tüm ürünlerin 2D/CAD ölçüleriyle 1:1 yerleşim çizimi çıkarılmalı.</t>
  </si>
  <si>
    <t>480 × 770 × 250 mm — 2D PANO ÖN YERLEŞİM ÇİZİMİ</t>
  </si>
  <si>
    <t>Sol: iç montaj plakası ve kablo kanalları • Sağ: kapı operatör yerleşimi • Konsept çizimidir; sipariş öncesi üretici 2D/CAD ölçüleriyle 1:1 doğrulanmalıdır.</t>
  </si>
  <si>
    <t>ÇİZİM NOTU: HGL36025/HGL36015 yaklaşık 104×163×86 mm; ABL8RPS24030 45×125×125 mm; XPSUAF13AP 22,5×100×120 mm; LC1D09 yaklaşık 45×77×95 mm. Kanallar ve DIN ray aralıkları konsepttir.</t>
  </si>
  <si>
    <t>TAVSİYE: Kablo bükülme yarıçapı, ayırıcı mil güzergâhı, terminal çalışma alanı ve minimum boşluklar nedeniyle 600×800×250 mm pano daha güvenlidir; 480×770×250 mm yerleşim üretici CAD doğrulamasıyla koşullu kullanılabilir.</t>
  </si>
  <si>
    <t>BASİT SATIN ALMA MALZEME LİSTESİ</t>
  </si>
  <si>
    <t>Pano için alınacak temel malzemeler — ürün kodları ön seçimdir; motor isim levhaları ve UL panel shop onayıyla kesinleştirilir.</t>
  </si>
  <si>
    <t>MALZEME ADI / ÖNERİLEN MODEL</t>
  </si>
  <si>
    <t>NE OLDUĞU / NEREDE KULLANILDIĞI</t>
  </si>
  <si>
    <t>Paslanmaz NEMA Type 4X pano — 480×770×250 mm</t>
  </si>
  <si>
    <t>Yıkama ortamına uygun UL Listed pano gövdesi</t>
  </si>
  <si>
    <t>Pano iç montaj plakası</t>
  </si>
  <si>
    <t>Tüm elektrik elemanlarının monte edildiği plaka</t>
  </si>
  <si>
    <t>30 A / 600 V kapı kumandalı ana enerji ayırıcısı</t>
  </si>
  <si>
    <t>Schneider 9422A Type 4X kol ve mil seti</t>
  </si>
  <si>
    <t>Ana ayırıcının kapı üzerindeki kilitlenebilir kumanda kolu</t>
  </si>
  <si>
    <t>25 A, 3 kutuplu UL 489 ana kesici</t>
  </si>
  <si>
    <t>15 A, 3 kutuplu UL 489 ısıtıcı branş kesicisi</t>
  </si>
  <si>
    <t>Eaton Bussmann CHCC2DU</t>
  </si>
  <si>
    <t>24 VDC güç kaynağı girişi için Class CC sigorta tutucu</t>
  </si>
  <si>
    <t>2 A / 600 V güç kaynağı primer sigortası</t>
  </si>
  <si>
    <t>480 V girişli, 24 VDC / 3 A kontrol güç kaynağı</t>
  </si>
  <si>
    <t>480 V faz sırası, faz kaybı ve asimetri kontrol rölesi</t>
  </si>
  <si>
    <t>Acil stop ve kapak kilidi için çift kanallı safety rölesi</t>
  </si>
  <si>
    <t>Schneider LC1D25BD — KSF1</t>
  </si>
  <si>
    <t>Birinci yedekli safety güç kontaktörü, 24 VDC bobin</t>
  </si>
  <si>
    <t>Schneider LC1D25BD — KSF2</t>
  </si>
  <si>
    <t>İkinci yedekli safety güç kontaktörü, 24 VDC bobin</t>
  </si>
  <si>
    <t>Schneider LADN11 — KSF1 yardımcı kontak</t>
  </si>
  <si>
    <t>Birinci safety kontaktörü EDM/geri bildirim kontağı</t>
  </si>
  <si>
    <t>Schneider LADN11 — KSF2 yardımcı kontak</t>
  </si>
  <si>
    <t>İkinci safety kontaktörü EDM/geri bildirim kontağı</t>
  </si>
  <si>
    <t>Schneider GV2P14</t>
  </si>
  <si>
    <t>Pompa için 6–10 A ayarlanabilir motor koruma şalteri</t>
  </si>
  <si>
    <t>Schneider LC1D09BL — KP</t>
  </si>
  <si>
    <t>Pompa için 24 VDC bobinli güç kontaktörü</t>
  </si>
  <si>
    <t>Schneider LADN11 — KP yardımcı kontak</t>
  </si>
  <si>
    <t>Pompa kontaktörü çalışma ve geri bildirim kontağı</t>
  </si>
  <si>
    <t>Schneider LC1D18BD — KH</t>
  </si>
  <si>
    <t>8,25 kW ısıtıcı için 24 VDC bobinli kontaktör</t>
  </si>
  <si>
    <t>Schneider LADN11 — KH yardımcı kontak</t>
  </si>
  <si>
    <t>Isıtıcı kontaktörü geri bildirim ve alarm kontağı</t>
  </si>
  <si>
    <t>Watlow PM PLUS PID kontrolörü</t>
  </si>
  <si>
    <t>Termokupldan sıcaklığı okuyup ısıtıcıyı kontrol eden cihaz</t>
  </si>
  <si>
    <t>Watlow PM PLUS limit veya UL/FM limit kontrolörü</t>
  </si>
  <si>
    <t>Bağımsız manuel resetli aşırı sıcaklık emniyeti</t>
  </si>
  <si>
    <t>Schneider GV2P02</t>
  </si>
  <si>
    <t>0,09 kW yağ sıyırıcı motoru koruma şalteri</t>
  </si>
  <si>
    <t>Schneider LC1D09BL — KO</t>
  </si>
  <si>
    <t>Yağ sıyırıcı motoru kontaktörü, 24 VDC bobin</t>
  </si>
  <si>
    <t>Schneider GV2P04</t>
  </si>
  <si>
    <t>0,18 kW sepet motoru koruma şalteri</t>
  </si>
  <si>
    <t>Schneider LC1D09BL — KB</t>
  </si>
  <si>
    <t>Sepet motoru kontaktörü, 24 VDC bobin</t>
  </si>
  <si>
    <t>Paslanmaz seviye bekçisi için seviye kontrol rölesi</t>
  </si>
  <si>
    <t>Kapak açılmasını izleyen ve kapağı kilitleyen safety switch</t>
  </si>
  <si>
    <t>Kapak interlock devresi için 24 VDC arayüz rölesi</t>
  </si>
  <si>
    <t>RSB2A080BD rölesinin 8 pinli soketi</t>
  </si>
  <si>
    <t>SWITCH L5K13MEP123 — 1NO+1NC</t>
  </si>
  <si>
    <t>Sepet pozisyonunu algılayan limit switch</t>
  </si>
  <si>
    <t>SWITCH L5K27MUM331 — 2NO+1NC</t>
  </si>
  <si>
    <t>Kapak kapalı bilgisini veren limit switch</t>
  </si>
  <si>
    <t>Tankta yeterli su seviyesini algılayan sensör</t>
  </si>
  <si>
    <t>Yıkama tankı sıcaklığını ölçen sensör</t>
  </si>
  <si>
    <t>2NC kontaklı kırmızı mantar acil stop butonu</t>
  </si>
  <si>
    <t>Yeşil START butonu, anlık 1NO</t>
  </si>
  <si>
    <t>Kırmızı STOP butonu, anlık 1NC</t>
  </si>
  <si>
    <t>Mavi RESET butonu, anlık 1NO</t>
  </si>
  <si>
    <t>Siyah sepet TEST/JOG butonu, basılı tutmalı 1NO</t>
  </si>
  <si>
    <t>Yağ sıyırıcı OFF/ON kalıcı seçici şalter</t>
  </si>
  <si>
    <t>24 VDC amber ışıklı ısıtıcı OFF/ON seçici</t>
  </si>
  <si>
    <t>Harmony XB5 beyaz 24 VDC LED</t>
  </si>
  <si>
    <t>Pano enerji var / POWER sinyal lambası</t>
  </si>
  <si>
    <t>Harmony XB5 yeşil 24 VDC LED</t>
  </si>
  <si>
    <t>Makine çalışıyor / RUN sinyal lambası</t>
  </si>
  <si>
    <t>Harmony XB5 kırmızı 24 VDC LED</t>
  </si>
  <si>
    <t>Arıza / FAULT sinyal lambası</t>
  </si>
  <si>
    <t>XB5 NO kontak bloğu</t>
  </si>
  <si>
    <t>START, RESET, TEST ve seçiciler için normalde açık kontak</t>
  </si>
  <si>
    <t>XB5 NC kontak bloğu</t>
  </si>
  <si>
    <t>STOP ve güvenlik izleme devreleri için normalde kapalı kontak</t>
  </si>
  <si>
    <t>Phoenix Contact UK 5 N — 3004362</t>
  </si>
  <si>
    <t>Güç ve kontrol saha bağlantıları için geçiş klemensi</t>
  </si>
  <si>
    <t>Phoenix Contact PE klemensleri</t>
  </si>
  <si>
    <t>Koruma topraklama iletkenleri için yeşil-sarı klemens</t>
  </si>
  <si>
    <t>Bakır PE/topraklama barası</t>
  </si>
  <si>
    <t>Pano gövdesi, kapı, montaj plakası ve saha PE bağlantıları</t>
  </si>
  <si>
    <t>Kapı bonding örgü iletkeni</t>
  </si>
  <si>
    <t>Pano kapısını ana PE barasına bağlayan esnek iletken</t>
  </si>
  <si>
    <t>35 mm DIN ray</t>
  </si>
  <si>
    <t>Kontaktör, röle, güç kaynağı ve klemenslerin montaj rayı</t>
  </si>
  <si>
    <t>UL 94 V-0 delikli kablo kanalı</t>
  </si>
  <si>
    <t>Pano içi güç ve kontrol kablolarının düzenli taşınması</t>
  </si>
  <si>
    <t>DIN ray uç tutucuları</t>
  </si>
  <si>
    <t>DIN ray cihazlarının yana kaymasını önleyen sabitleyici</t>
  </si>
  <si>
    <t>UL Listed Type 4X/IP69K kablo rakorları</t>
  </si>
  <si>
    <t>Saha kablolarını panoya su geçirmez biçimde sokan rakorlar</t>
  </si>
  <si>
    <t>10 AWG Cu MTW/THHN kablo</t>
  </si>
  <si>
    <t>Ana besleme pano içi güç iletkeni</t>
  </si>
  <si>
    <t>12 AWG Cu MTW/THHN kablo</t>
  </si>
  <si>
    <t>8,25 kW ısıtıcı güç iletkeni</t>
  </si>
  <si>
    <t>14 AWG Cu MTW/THHN kablo</t>
  </si>
  <si>
    <t>Pompa ve küçük motor güç iletkenleri</t>
  </si>
  <si>
    <t>18 AWG Cu MTW kablo</t>
  </si>
  <si>
    <t>24 VDC kumanda ve switch bağlantı iletkeni</t>
  </si>
  <si>
    <t>Termokupl uzatma kablosu — sensör tipiyle aynı</t>
  </si>
  <si>
    <t>ETB30F06-2Ç ile sıcaklık kontrolörü arasındaki ölçüm kablosu</t>
  </si>
  <si>
    <t>Kablo numaratörleri ve cihaz etiketleri</t>
  </si>
  <si>
    <t>Tüm iletken, klemens ve cihazların kalıcı işaretlenmesi</t>
  </si>
  <si>
    <t>Finger-safe terminal ve kesici koruyucu kapakları</t>
  </si>
  <si>
    <t>Kapı açıldığında 480 V canlı parçalara dokunmayı önleyen bariyer</t>
  </si>
  <si>
    <t>İngilizce pano nameplate ve uyarı etiketleri</t>
  </si>
  <si>
    <t>Gerilim, faz, frekans, FLA, SCCR ve tehlike bilgilerinin işaretlenmesi</t>
  </si>
  <si>
    <t>HAT DAĞITIMI VE KUMANDA AKIŞI — MEVCUT BOM’A GÖRE</t>
  </si>
  <si>
    <t>Aşağıdaki sıra, 480 V üç faz ana güç yolunu, motor/ısıtıcı branşlarını, 24 VDC kumanda beslemesini ve safety zincirini gösterir. Ürün akım aralıkları ön seçimdir; motor nameplate FLA, şebeke topolojisi, tesis kısa devre akımı ve UL 508A panel shop koordinasyonu ile kesinleştirilir.</t>
  </si>
  <si>
    <t>ANA GÜÇ VE BRANŞ DAĞITIMI</t>
  </si>
  <si>
    <t>Adım</t>
  </si>
  <si>
    <t>Giriş noktası</t>
  </si>
  <si>
    <t>Koruma / anahtarlama</t>
  </si>
  <si>
    <t>Sonraki nokta</t>
  </si>
  <si>
    <t>Beslenen yük / devre</t>
  </si>
  <si>
    <t>İletken (ön seçim)</t>
  </si>
  <si>
    <t>Kumanda / geri bildirim</t>
  </si>
  <si>
    <t>Şebeke: L1-L2-L3 + PE, 480 V / 3 faz</t>
  </si>
  <si>
    <t>Schneider 9422TCN30 + 9422A Type 4X kapı kolu</t>
  </si>
  <si>
    <t>Schneider HGL36025 ana UL 489 kesici</t>
  </si>
  <si>
    <t>Ana 480 V dağıtım noktası</t>
  </si>
  <si>
    <t>Kapı interlock ve OFF konumunda kilitleme</t>
  </si>
  <si>
    <t>PE, ana şalterden veya kesiciden geçirilmez; doğrudan PE barasına gider. Şebekenin 480Y/277 V veya 480 V delta olduğu teyit edilir.</t>
  </si>
  <si>
    <t>9422TCN30 çıkışı</t>
  </si>
  <si>
    <t>Kaçak / toprak arıza koruması — MEVCUT BOM’DA YOK</t>
  </si>
  <si>
    <t>Cihaz yoksa doğrudan HGL36025’e</t>
  </si>
  <si>
    <t>Yerel şart veya risk analizi isterse tüm pano</t>
  </si>
  <si>
    <t>Seçilecek cihazın terminal/ratingine göre</t>
  </si>
  <si>
    <t>Trip yardımcı kontağı alarm/safety mantığına alınabilir</t>
  </si>
  <si>
    <t>İşlevine göre 480Y/277 V uyumlu UL 1053 GFP veya uygun UL 943 GFCI seçimi panel shop/AHJ tarafından yapılır; delta/Y topolojisi ve koordinasyon görülmeden eklenmez.</t>
  </si>
  <si>
    <t>HGL36025 çıkışı</t>
  </si>
  <si>
    <t>KSF1 ve KSF2: 2× LC1D25BD, güç kutupları seri</t>
  </si>
  <si>
    <t>Tehlikeli yük ortak dağıtımı</t>
  </si>
  <si>
    <t>Pompa, sepet, ısıtıcı; risk analizine göre sıyırıcı</t>
  </si>
  <si>
    <t>10 AWG ana dağıtım; branşta aşağıdaki kesitler</t>
  </si>
  <si>
    <t>XPSUAF13AP iki kontaktör bobinini sürer; 2× LADN11 ile EDM</t>
  </si>
  <si>
    <t>24 VDC PSU, faz rölesi ve safety rölesi beslemesi KSF kontaktörlerinden önce alınır; böylece E-stop sonrası tanılama/reset devrede kalır.</t>
  </si>
  <si>
    <t>Safety kontaktörleri sonrası 480 V bara</t>
  </si>
  <si>
    <t>GV2P14 motor koruma şalteri → LC1D09BL (KP)</t>
  </si>
  <si>
    <t>Pompa saha klemensi</t>
  </si>
  <si>
    <t>GOULDS GCEA 370/3 pompa</t>
  </si>
  <si>
    <t>14 AWG Cu MTW/THHN</t>
  </si>
  <si>
    <t>KP LADN11 yardımcı kontak: çalışma/geri bildirim</t>
  </si>
  <si>
    <t>GV2P14 yalnız gerçek pompa FLA 6–10 A ve 480 V hp sınırı içindeyse kullanılır; ayar nameplate FLA’ya göre yapılır.</t>
  </si>
  <si>
    <t>HGL36015, 3P UL 489 → LC1D18BD (KH)</t>
  </si>
  <si>
    <t>Isıtıcı saha klemensi</t>
  </si>
  <si>
    <t>8,25 kW üç faz rezistans</t>
  </si>
  <si>
    <t>12 AWG Cu MTW/THHN; PE 14 AWG ön</t>
  </si>
  <si>
    <t>KH LADN11 geri bildirim; bobinde seviye + high-limit + guard izinleri</t>
  </si>
  <si>
    <t>Kontaktör koruma cihazı değildir. 15 A branş kesici, düşük seviye kilidi ve bağımsız manuel resetli yüksek sıcaklık limiti birlikte kullanılır.</t>
  </si>
  <si>
    <t>480 V tehlikeli yük barası</t>
  </si>
  <si>
    <t>GV2P02 → LC1D09BL (KO)</t>
  </si>
  <si>
    <t>Yağ sıyırıcı saha klemensi</t>
  </si>
  <si>
    <t>0,09 kW sıyırıcı motoru</t>
  </si>
  <si>
    <t>OFF/ON seçici + termik sağlıklı bilgisi</t>
  </si>
  <si>
    <t>GV2P02 yalnız nameplate FLA 0,16–0,25 A aralığındaysa; kapak dışı risk varsa safety barasından beslenir.</t>
  </si>
  <si>
    <t>GV2P04 → LC1D09BL (KB)</t>
  </si>
  <si>
    <t>Sepet motoru saha klemensi</t>
  </si>
  <si>
    <t>0,18 kW sepet motoru</t>
  </si>
  <si>
    <t>Hold-to-run TEST/JOG + pozisyon switch + guard izni</t>
  </si>
  <si>
    <t>GV2P04 yalnız nameplate FLA 0,40–0,63 A aralığındaysa; kapak açıkken hareket kesinlikle engellenir.</t>
  </si>
  <si>
    <t>HGL36025 sonrası, KSF’den önce</t>
  </si>
  <si>
    <t>CHCC2DU + 2× LP-CC-2 → ABL8RPS24030</t>
  </si>
  <si>
    <t>24 VDC + / 0 V dağıtımı</t>
  </si>
  <si>
    <t>Safety rölesi, kontaktör bobinleri, röleler, sensörler, buton/lambalar</t>
  </si>
  <si>
    <t>Primer üretici şartına göre; sekonder 18 AWG Cu MTW</t>
  </si>
  <si>
    <t>24 VDC kollar ayrı ek koruma/terminal üzerinden dağıtılır</t>
  </si>
  <si>
    <t>PSU girişi 480 V hatlar arası alınır; primer sigorta, inrush ve gerçek DC yük + %25 marj doğrulanır. 24 VDC kol korumaları nihai BOM’a eklenir.</t>
  </si>
  <si>
    <t>HGL36025 sonrası üç faz algılama</t>
  </si>
  <si>
    <t>RM35TF30 faz sırası/kayıp/asimetri rölesi</t>
  </si>
  <si>
    <t>Kuru kontak, start izin zinciri</t>
  </si>
  <si>
    <t>Motor ve ısıtıcı izinleri</t>
  </si>
  <si>
    <t>Algılama bağlantısı üretici şemasına göre</t>
  </si>
  <si>
    <t>Faz sağlıklı kontağı seri izin; hata lambası/alarm</t>
  </si>
  <si>
    <t>Röle güç akımını taşımaz; yalnız L1-L2-L3’ü izler ve kumanda iznini keser.</t>
  </si>
  <si>
    <t>Şebeke PE iletkeni</t>
  </si>
  <si>
    <t>Bakır PE barası + PE klemensleri + kapı bonding örgüsü</t>
  </si>
  <si>
    <t>Gövde, kapı, plaka ve tüm saha PE uçları</t>
  </si>
  <si>
    <t>Pompa, motorlar, ısıtıcı gövdesi ve pano metal parçaları</t>
  </si>
  <si>
    <t>Ana PE 10 AWG; branş PE değerleri nihai hesabına göre</t>
  </si>
  <si>
    <t>PE süreklilik testi ve tork kaydı</t>
  </si>
  <si>
    <t>PE hattı hiçbir kontak, sigorta veya şalterle kesilmez. Termokupl ekranı EMC planına göre tek noktadan sonlandırılır.</t>
  </si>
  <si>
    <t>24 VDC KUMANDA VE SAFETY ZİNCİRİ</t>
  </si>
  <si>
    <t>24 VDC kaynak</t>
  </si>
  <si>
    <t>Seri izin / girişler</t>
  </si>
  <si>
    <t>Mantık elemanı</t>
  </si>
  <si>
    <t>Sürülen bobin / çıkış</t>
  </si>
  <si>
    <t>Güç devresindeki sonuç</t>
  </si>
  <si>
    <t>Geri bildirim</t>
  </si>
  <si>
    <t>Çalışma davranışı</t>
  </si>
  <si>
    <t>ABL8RPS24030 +24 V / 0 V</t>
  </si>
  <si>
    <t>E-stop iki NC kanal + D4NL iki safety kanal</t>
  </si>
  <si>
    <t>XPSUAF13AP safety rölesi</t>
  </si>
  <si>
    <t>KSF1 + KSF2, 24 VDC</t>
  </si>
  <si>
    <t>Tehlikeli yük barası enerjilenir/kesilir</t>
  </si>
  <si>
    <t>KSF1/KSF2 LADN11 NC kontakları ile EDM</t>
  </si>
  <si>
    <t>E-stop veya kapak açılması kontaktörleri düşürür; ayrı RESET olmadan ve kanallar sağlıklı değilken yeniden çalışmaz.</t>
  </si>
  <si>
    <t>Safety izinli 24 VDC</t>
  </si>
  <si>
    <t>STOP NC + START NO + faz sağlıklı + proses izinleri</t>
  </si>
  <si>
    <t>3-wire mühürleme / kontrol rölesi</t>
  </si>
  <si>
    <t>KP pompa kontaktörü</t>
  </si>
  <si>
    <t>Pompa branşı enerjilenir</t>
  </si>
  <si>
    <t>KP yardımcı kontak + GV2 trip</t>
  </si>
  <si>
    <t>Enerji geri geldiğinde otomatik restart olmaz; tekrar START gerekir.</t>
  </si>
  <si>
    <t>HEATER ON + PID talebi + seviye sağlıklı + guard kapalı + high-limit NC</t>
  </si>
  <si>
    <t>PID ve bağımsız limit zinciri</t>
  </si>
  <si>
    <t>KH ısıtıcı kontaktörü</t>
  </si>
  <si>
    <t>Rezistans enerjilenir</t>
  </si>
  <si>
    <t>KH geri bildirim + sıcaklık/seviye alarmı</t>
  </si>
  <si>
    <t>Seviye düşmesi, kapak açılması veya high-limit ısınmayı keser; high-limit manuel reset ister.</t>
  </si>
  <si>
    <t>Kapak kilitli + TEST/JOG basılı + sepet pozisyon şartı</t>
  </si>
  <si>
    <t>Hold-to-run kumanda</t>
  </si>
  <si>
    <t>KB sepet kontaktörü</t>
  </si>
  <si>
    <t>Sepet yalnız buton basılıyken hareket eder</t>
  </si>
  <si>
    <t>L5K13MEP123 + KB/termik bilgisi</t>
  </si>
  <si>
    <t>Buton bırakılınca durur; test modu guard devresini bypass etmez.</t>
  </si>
  <si>
    <t>24 VDC kumanda</t>
  </si>
  <si>
    <t>OIL SKIMMER ON + termik sağlıklı + risk analizine göre guard izni</t>
  </si>
  <si>
    <t>Normal kumanda zinciri</t>
  </si>
  <si>
    <t>KO sıyırıcı kontaktörü</t>
  </si>
  <si>
    <t>Sıyırıcı motoru enerjilenir</t>
  </si>
  <si>
    <t>KO/termik yardımcı kontak</t>
  </si>
  <si>
    <t>Kapak dışı erişilebilir mekanik risk varsa bu devre de KSF safety barasından kesilir.</t>
  </si>
  <si>
    <t>D4NL kilit talebi / izin mantığı</t>
  </si>
  <si>
    <t>RSB2A080BD + RSZE1S48M arayüz rölesi</t>
  </si>
  <si>
    <t>D4NL kilit solenoidi / sinyal</t>
  </si>
  <si>
    <t>Kapak kilidi kumanda edilir</t>
  </si>
  <si>
    <t>D4NL kilit ve kapı kontakları XPS’ye döner</t>
  </si>
  <si>
    <t>RSB yalnız arayüzdür; safety logic elemanı olarak kullanılmaz. Verilen 230 VAC RSB2A080P7 yerine 24 VDC RSB2A080BD kullanılır.</t>
  </si>
  <si>
    <t>24 VDC dağıtım</t>
  </si>
  <si>
    <t>POWER / RUN / FAULT şartları</t>
  </si>
  <si>
    <t>Yardımcı kontaklar ve kontrol mantığı</t>
  </si>
  <si>
    <t>XB5 beyaz / yeşil / kırmızı LED</t>
  </si>
  <si>
    <t>Operatöre durum gösterimi</t>
  </si>
  <si>
    <t>Faz, termik, safety ve kontaktör bilgileri</t>
  </si>
  <si>
    <t>Lambalar güç devresine seri bağlanmaz; yalnız durum sinyali verir.</t>
  </si>
  <si>
    <t>24 VDC 0 V dönüş</t>
  </si>
  <si>
    <t>Ayrı numaralı kumanda kolları ve saha terminalleri</t>
  </si>
  <si>
    <t>Ek kol korumaları / terminal dağıtımı</t>
  </si>
  <si>
    <t>Röle, sensör ve bobin dönüşleri</t>
  </si>
  <si>
    <t>Kumanda devresi tamamlanır</t>
  </si>
  <si>
    <t>Kablo numarası ve terminal planı</t>
  </si>
  <si>
    <t>0 V dağıtımı projede tanımlanır; PE ile bağlantı yöntemi PSU üreticisi ve UL panel shop kararına göre tek noktada veya izole uygulanır.</t>
  </si>
  <si>
    <t>AKIŞIN KISA OKUNUŞU</t>
  </si>
  <si>
    <t>ŞEBEKE L1-L2-L3 → 9422TCN30 ANA AYIRICI → (kaçak/toprak arıza koruması gerekiyorsa, mevcut BOM’a ayrıca eklenecek uygun UL cihaz) → HGL36025 ANA KESİCİ → iki kola ayrılır: (1) KSF1 + KSF2 SAFETY GÜÇ KONTAKTÖRLERİ → pompa / ısıtıcı / sepet / gerektiğinde sıyırıcı branş korumaları → yük kontaktörleri → saha klemensleri → yükler; (2) KSF’den önce alınan kontrol kolu → Class CC primer sigortalar → ABL8RPS24030 → 24 VDC safety ve normal kumanda devreleri. PE ise şebekeden doğrudan PE barasına, oradan pano gövdesi, kapı, montaj plakası ve tüm yük gövdelerine dağılır.</t>
  </si>
  <si>
    <t>KRİTİK: Bu akış bir tek-hat/kumanda konseptidir. Nihai terminal numaraları, iletken renkleri, OCPD değerleri, SCCR, AFC, motor nameplate FLA’ları, D4NL kontak/kilit mantığı ve kaçak/toprak arıza koruması ihtiyacı yetkili UL 508A panel shop/NRTL tarafından şema üzerinde doğrulanmadan imalata verilmez.</t>
  </si>
  <si>
    <t>LYM 1350</t>
  </si>
  <si>
    <t>Redüktör</t>
  </si>
  <si>
    <t>Rezistans</t>
  </si>
  <si>
    <t>Makine Gücü</t>
  </si>
  <si>
    <t>Makine Akımı</t>
  </si>
  <si>
    <t>0.18 kW</t>
  </si>
  <si>
    <t>2.2 kW</t>
  </si>
  <si>
    <t>8.25 kW</t>
  </si>
  <si>
    <t>10.72 kW</t>
  </si>
  <si>
    <t>22.24 A</t>
  </si>
  <si>
    <t>0.54 A</t>
  </si>
  <si>
    <t>5.2 A</t>
  </si>
  <si>
    <t>16 A</t>
  </si>
  <si>
    <t>standart + opsiyonlar</t>
  </si>
  <si>
    <t>İnterlock Kilit</t>
  </si>
  <si>
    <t>Yağ Sıyırıcı</t>
  </si>
  <si>
    <t>Egzos Fanı</t>
  </si>
  <si>
    <t>Kurutma Fanı</t>
  </si>
  <si>
    <t>Drenaj Pompası</t>
  </si>
  <si>
    <t>Gerçek Zaman Saati</t>
  </si>
  <si>
    <t>Emniyet Rölesi</t>
  </si>
  <si>
    <t>İnvertör</t>
  </si>
  <si>
    <t>Basınçlı Pompa</t>
  </si>
  <si>
    <t>VAR</t>
  </si>
  <si>
    <t>YOK</t>
  </si>
  <si>
    <t>Malzeme Tablosu — LYM 1350</t>
  </si>
  <si>
    <t>Stok Kodu</t>
  </si>
  <si>
    <t>Ürün Adı</t>
  </si>
  <si>
    <t>Birim Fiyatı (€)</t>
  </si>
  <si>
    <t>Ürün Adedi</t>
  </si>
  <si>
    <t>Toplam Maliyet (€)</t>
  </si>
  <si>
    <t>SİGORTA GRUBU</t>
  </si>
  <si>
    <t>10 00285</t>
  </si>
  <si>
    <t>PAKO ŞALTER YKL301025 3*25 BÜYÜK KASALI</t>
  </si>
  <si>
    <t/>
  </si>
  <si>
    <t>1</t>
  </si>
  <si>
    <t>—</t>
  </si>
  <si>
    <t>10 00303</t>
  </si>
  <si>
    <t>SİGORTA KAÇAK AKIMLI A9R41425 4'LÜ (25A)</t>
  </si>
  <si>
    <t>10 02663</t>
  </si>
  <si>
    <t>SİGORTA A9F74425 SCHNEİDER İC60N,6KA,25A</t>
  </si>
  <si>
    <t>10 00302</t>
  </si>
  <si>
    <t>SİGORTA A9F74103 1*3</t>
  </si>
  <si>
    <t>RÖLE GRUBU</t>
  </si>
  <si>
    <t>10 00294</t>
  </si>
  <si>
    <t>MİNYATÜR RÖLE RXM4AB1P7 220V</t>
  </si>
  <si>
    <t>2</t>
  </si>
  <si>
    <t>10 01398</t>
  </si>
  <si>
    <t>MİNYATÜR RÖLE RXM4AB1BD 24V 16 PİNLİ</t>
  </si>
  <si>
    <t>10 00295</t>
  </si>
  <si>
    <t>RÖLE SOKETİ RXZE2M114M</t>
  </si>
  <si>
    <t>3</t>
  </si>
  <si>
    <t>KONTAK GRUBU</t>
  </si>
  <si>
    <t>10 00243</t>
  </si>
  <si>
    <t>TERMİK RÖLESİ LR2K0305 0,54-0,8A</t>
  </si>
  <si>
    <t>10 00248</t>
  </si>
  <si>
    <t>TERMİK RÖLESİ LR2K0312 3,70-5,5A</t>
  </si>
  <si>
    <t>10 01331</t>
  </si>
  <si>
    <t>KONTAKTÖR LC1K0910M7 220V</t>
  </si>
  <si>
    <t>10 01332</t>
  </si>
  <si>
    <t>KONTAKTÖR LC1K1610M7 220V</t>
  </si>
  <si>
    <t>GÜÇ KONTROL GRUBU</t>
  </si>
  <si>
    <t>10 02491</t>
  </si>
  <si>
    <t>GÜÇ KAYNAĞI MDR 20/24</t>
  </si>
  <si>
    <t>10 00258</t>
  </si>
  <si>
    <t>FAZ KORUMA RÖLESİ MKS-03</t>
  </si>
  <si>
    <t>PANO ETİKET BUTON GRUBU</t>
  </si>
  <si>
    <t>10 00266</t>
  </si>
  <si>
    <t>BUTON İKİZ LAMBALI B102K20KY</t>
  </si>
  <si>
    <t>10 00270</t>
  </si>
  <si>
    <t>BUTON START B100DB</t>
  </si>
  <si>
    <t>10 03445</t>
  </si>
  <si>
    <t>BUTON ACİL STOP MANTAR B200EE</t>
  </si>
  <si>
    <t>10 00237</t>
  </si>
  <si>
    <t>TERMOSTAT DİJİTAL DT 481 GEMO</t>
  </si>
  <si>
    <t>10 10465</t>
  </si>
  <si>
    <t>ZAMAN ROLESİ DZ 482 DİJİTAL GEMO</t>
  </si>
  <si>
    <t>10 00263</t>
  </si>
  <si>
    <t>BUTON MANDAL B100SL20Y</t>
  </si>
  <si>
    <t>10 00272</t>
  </si>
  <si>
    <t>BUTON START B100DM</t>
  </si>
  <si>
    <t>10 00278</t>
  </si>
  <si>
    <t>SİNYAL LAMBASI S14K KIRMIZI 220V</t>
  </si>
  <si>
    <t>10 00268</t>
  </si>
  <si>
    <t>KONTAK BLOK NC B2</t>
  </si>
  <si>
    <t>10 00267</t>
  </si>
  <si>
    <t>KONTAK BLOK NO B1</t>
  </si>
  <si>
    <t>10 02314</t>
  </si>
  <si>
    <t>KONTAKTÖR LC1K0610M7 220V</t>
  </si>
  <si>
    <t>10 00262</t>
  </si>
  <si>
    <t>BUTON MANDAL B100S20</t>
  </si>
  <si>
    <t>10 00279</t>
  </si>
  <si>
    <t>SİNYAL LAMBASI S14B BEYAZ 220V</t>
  </si>
  <si>
    <t>10 01337</t>
  </si>
  <si>
    <t>MİNYATÜR RÖLE RSB2A080P7 2 KUTUPLU 8 PİNLİ</t>
  </si>
  <si>
    <t>YAĞ SIYIRICI BUTON GRUBU</t>
  </si>
  <si>
    <t>INTERLOCK BUTON GRUBU</t>
  </si>
  <si>
    <t>Malzeme Tablosu — LYM 1350 (UL ve Fiyat Karşılaştırması)</t>
  </si>
  <si>
    <t>UL Durumu / Belge</t>
  </si>
  <si>
    <t>UL Muadil Önerisi</t>
  </si>
  <si>
    <t>Muadil Fiyatı (€)</t>
  </si>
  <si>
    <t>Fark / Adet (€)</t>
  </si>
  <si>
    <t>TEYİTSİZ — UL belgesi bulunamadı</t>
  </si>
  <si>
    <t>Schneider TeSys Vario V0 + uygun kol</t>
  </si>
  <si>
    <t>25 A; kol/şaft ve pano tipi ayrıca seçilmeli</t>
  </si>
  <si>
    <t>UYGUN DEĞİL — IEC 61008-1</t>
  </si>
  <si>
    <t>UYGUN DEĞİL — branch için UL 489 değil</t>
  </si>
  <si>
    <t>UL UYGUN — UL 508</t>
  </si>
  <si>
    <t>Mevcut ürün kullanılabilir</t>
  </si>
  <si>
    <t>UL UYGUN — röle ile takım teyidi</t>
  </si>
  <si>
    <t>RXM4 ile soket kombinasyonunu dosyada doğrula</t>
  </si>
  <si>
    <t>UL UYGUN — UL 60947-4-1</t>
  </si>
  <si>
    <t>Motor isim levhası FLA aralığına göre ayarla</t>
  </si>
  <si>
    <t>Bobin 220–230 VAC</t>
  </si>
  <si>
    <t>24 VDC / 1 A; gerçek DC yükünü kontrol et</t>
  </si>
  <si>
    <t>TEYİTSİZ — listede yalnız RoHS</t>
  </si>
  <si>
    <t>Gerilim aralığı 194–528 VAC; UL/CSA</t>
  </si>
  <si>
    <t>EMAS B serisi üretici belgesi</t>
  </si>
  <si>
    <t>UL UYGUN — UL 508 aile belgesi</t>
  </si>
  <si>
    <t>Exact ürün etiketinde UL işareti teyit edilmeli</t>
  </si>
  <si>
    <t>Safety devresinde çift kanal ve safety rölesi gerekir</t>
  </si>
  <si>
    <t>UYGUN DEĞİL — yalnız EN/CE dokümanı</t>
  </si>
  <si>
    <t>TEYİTSİZ — exact UL belgesi görülmedi</t>
  </si>
  <si>
    <t>Schneider Harmony XB5AVM4 (kırmızı)</t>
  </si>
  <si>
    <t>230 VAC pilot lamba; exact katalog kodu teyit edilmeli</t>
  </si>
  <si>
    <t>EMAS B2 contact block</t>
  </si>
  <si>
    <t>EMAS B1 contact block</t>
  </si>
  <si>
    <t>Schneider Harmony XB5AVM1 (beyaz)</t>
  </si>
  <si>
    <t>UL UYGUN — UL/CSA; gerilim uyumsuz</t>
  </si>
  <si>
    <t>Schneider RSB2A080BD 24 VDC</t>
  </si>
  <si>
    <t>P7 bobin 230 VAC; 24 VDC kumanda için BD önerildi</t>
  </si>
  <si>
    <t>Mevcut BOM tahmini</t>
  </si>
  <si>
    <t>UL muadilli senaryo</t>
  </si>
  <si>
    <t>Tahmini fark</t>
  </si>
  <si>
    <t>UL UYGUNLUK VE FİYAT KARŞILAŞTIRMASI</t>
  </si>
  <si>
    <t>Mevcut Fiyat (€)</t>
  </si>
  <si>
    <t>UL Belge / Ürün Linki</t>
  </si>
  <si>
    <t>FİYAT ÖZETİ — Ekonomik UL senaryosu, tahmini EUR / adet, KDV hariç</t>
  </si>
  <si>
    <t>RCCB kaldır; UL 489 branş kesici ile devam</t>
  </si>
  <si>
    <t>480 V’ta UL 943 GFCI kapsamı yok. Yalnız ground-fault koruması proje/yerel mevzuatta zorunlu değilse uygulanır.</t>
  </si>
  <si>
    <t>ABB SU203M-K25</t>
  </si>
  <si>
    <t>3P 25 A, UL 489, 480Y/277 V; eski öneriden daha uygun.</t>
  </si>
  <si>
    <t>ABB SU201M-K3</t>
  </si>
  <si>
    <t>1P 3 A, UL 489, 277 V; eski öneriden daha uygun.</t>
  </si>
  <si>
    <t>Autonics TCN4S-24R</t>
  </si>
  <si>
    <t>UL Recognized E312024; 48×48 mm, 100–240 VAC, J/K termokupl. Nihai panel değerlendirmesi gerekir.</t>
  </si>
  <si>
    <t>Schneider RE17RMMW</t>
  </si>
  <si>
    <t>cULus; DIN ray, 12–240 VAC/DC, 10 fonksiyon. Dijital ekran yok; fonksiyonel ekonomik muadil.</t>
  </si>
  <si>
    <t>https://www.se.com/fr/fr/product/V0/</t>
  </si>
  <si>
    <t>https://www.ul.com/services/gfci-personal-protection-devices-testing-and-certification</t>
  </si>
  <si>
    <t>https://new.abb.com/products/2CDS273337R0517/su203m-k25</t>
  </si>
  <si>
    <t>https://www.mouser.fr/ProductDetail/ABB/SU201M-K3</t>
  </si>
  <si>
    <t>https://www.se.com/fr/fr/product/RXM4AB1P7/</t>
  </si>
  <si>
    <t>https://www.se.com/fr/fr/product/RXM4AB1BD/</t>
  </si>
  <si>
    <t>https://www.se.com/uk/en/product/RXZE2M114M/</t>
  </si>
  <si>
    <t>https://www.se.com/fr/fr/product/LR2K0305/</t>
  </si>
  <si>
    <t>https://www.se.com/fr/fr/product/LR2K0312/</t>
  </si>
  <si>
    <t>https://www.se.com/fr/fr/product/LC1K0910M7/</t>
  </si>
  <si>
    <t>https://www.se.com/uk/en/product/LC1K1610M7/</t>
  </si>
  <si>
    <t>https://www.meanwell.com/Upload/PDF/MDR-20/MDR-20-SPEC.PDF</t>
  </si>
  <si>
    <t>https://www.emaselectric.com/Export/Datasheet?productCode=B102K20KY&amp;languageCode=en</t>
  </si>
  <si>
    <t>https://www.emaselectric.com/products/a--control-units-and-pilot-lights/b--b-series-plastic/b100db--b-series-plastic-1no-spring-flush-white-22-mm-control-unit</t>
  </si>
  <si>
    <t>https://www.emaselectric.com/products/a--control-units-and-pilot-lights/b--series-plastic/b200ee--b-series-plastic-1nc-emergency-40-mm-turn-to-release-with-label-red-22-mm-control-unit</t>
  </si>
  <si>
    <t>https://www.autonics-tw.com/upload/files/UL%20Certificate%20of%20Compliance_TCN4.pdf</t>
  </si>
  <si>
    <t>https://www.se.com/fr/fr/product/RE17RMMW/</t>
  </si>
  <si>
    <t>https://www.emaselectric.com/Export/Datasheet?productCode=B100SL20Y&amp;languageCode=en</t>
  </si>
  <si>
    <t>https://www.emaselectric.com/products/a--control-units-and-pilot-lights/b--b-series-plastic/b100dm--b-series-plastic-1no-spring-flush-blue-22-mm-control-unit</t>
  </si>
  <si>
    <t>https://www.se.com/us/en/product/XB5AVM4/</t>
  </si>
  <si>
    <t>https://www.emaselectric.com/products/a--control-units-and-pilot-lights/yedek--spare-part/b2--spare-part-1nc-contact-block</t>
  </si>
  <si>
    <t>https://www.emaselectric.com/products/a--control-units-and-pilot-lights/yedek--spare-part/b1--spare-part-1no-contact-block</t>
  </si>
  <si>
    <t>https://www.se.com/uk/en/product/LC1K0610M7/</t>
  </si>
  <si>
    <t>https://www.emaselectric.com/Export/Datasheet?productCode=B100S20&amp;languageCode=en</t>
  </si>
  <si>
    <t>https://www.se.com/us/en/product/XB5AVM1/</t>
  </si>
  <si>
    <t>Ekonomik senaryo: 480 V kaçak akım koruması zorunlu değilse IEC RCCB kaldırılır; UL 489 branş koruma korunur. Ground-fault zorunluysa UL 1053 çözümü ayrıca fiyatlandırılmalıdır. Fiyatlar 25.08.2026 tahmini, KDV/nakliye hariçtir.</t>
  </si>
  <si>
    <t>UL / NFPA 79 TASARIM SORULARI — KARAR NOTLARI</t>
  </si>
  <si>
    <t>1) Güç hattı sırası doğru mu? Ana Şalter → Kaçak Akım Sigortası → Aşırı Akım Sigortası → Bara → Termik → Kontaktör → Klemens</t>
  </si>
  <si>
    <t>KISMEN DÜZELTİLMELİ. Önerilen genel sıra: UL uygun ana ayırıcı/ana kesici → (yalnız proje veya yerel mevzuat gerektiriyorsa UL uygun ground-fault koruması) → UL uygun güç dağıtım bloğu → HER MOTOR İÇİN ayrı branş kısa-devre koruması/MPCB → kontaktör → ayrı termik aşırı-yük rölesi kullanılıyorsa termik → saha klemensi → motor. GV2P gibi ayarlanabilir MPCB hem kısa-devre hem aşırı-yük işlevini onaylı kombinasyonda sağlıyorsa ayrıca LR2K termik kullanılmaz. Ayrı kesici + kontaktör + LR2K mimarisinde fiziksel sıra kontaktör → LR2K → klemens → motor olur. Kaçak akım cihazı aşırı-akım/branş korumasının yerine geçmez; 480 V sistemde kullanımı uygulama ve şebeke topolojisine göre ayrıca doğrulanmalıdır.</t>
  </si>
  <si>
    <t>https://www.eaton.com/content/dam/eaton/markets/machinebuilding/protect-personnel-assets-and-machine-reliability/documents/documents-english-language/eaton-control-panel-design-guide-according-ul-508a.pdf</t>
  </si>
  <si>
    <t>2) Tek bir sigortanın çıkış terminalinden birden çok kablo çıkarılıp motorlara dağıtılabilir mi?</t>
  </si>
  <si>
    <t>GENEL OLARAK HAYIR. Standart tek iletkenli kesici/sigorta terminaline dört kablo sıkıştırılamaz. Yalnız üreticinin o kesici için UL Listed çoklu-iletken terminal aksesuarı vermesi ve terminalin iletken adedi/kesiti için açıkça işaretlenmiş olması halinde mümkündür. Pratik ve denetlenebilir çözüm: ana kesici → UL Listed/Recognized güç dağıtım bloğu → her motor için ayrı MPCB/branş koruması. Dört motor kablosunu tek ana kesiciden korumasız paralel branşlar olarak çıkarmayın.</t>
  </si>
  <si>
    <t>https://www.eaton.com/content/dam/eaton/products/electrical-circuit-protection/molded-case-circuit-breakers/multi-wire-terminals-application-mccb-ap01200004e.pdf</t>
  </si>
  <si>
    <t>3) Elektrik kutusu kapağı UL uygunluğu için anahtarlı kilitli mi olmalı?</t>
  </si>
  <si>
    <t>MUTLAKA sıradan bir anahtarlı kilit şartı şeklinde değildir. İçeride 50 VAC veya 60 VDC üzeri canlı kısımlar varsa NFPA 79 erişim için kabul edilen yöntemlerden biri gerekir: (a) kapağın yalnız anahtar veya aletle açılması ve kapak üzerindeki canlı kısımların doğrudan temasa karşı korunması + uyarı etiketi; veya (b) ana ayırıcı ile mekanik/elektriksel kapı interlock, böylece enerji kesilmeden kapı açılmaz; veya (c) tüm canlı parçaların uygun finger-safe bariyerlerle korunması. Bu makine için en sağlam uygulama: kırmızı/sarı, OFF konumunda asma kilitlenebilir dış ana ayırıcı kolu + defeatable door interlock; yetkili personel için aletle bypass edilebilir, kapı kapanınca interlock otomatik geri devreye girer. Normal kapı kilidi, enerji izolasyonu/LOTO yerine geçmez.</t>
  </si>
  <si>
    <t>https://www.gt-engineering.it/en/technical-standards/ul-and-nfpa-standards/industrial-machinery/nfpa-79-2021-chapter-6-protection-from-electrical-hazards/</t>
  </si>
  <si>
    <t>KONTAKTÖR LC1K0901B7 24V</t>
  </si>
  <si>
    <t>10 04971</t>
  </si>
  <si>
    <t>KONTAKTÖR LC1K1610B7 24V</t>
  </si>
  <si>
    <t>10 01333</t>
  </si>
  <si>
    <t>Bobin 24VDC</t>
  </si>
  <si>
    <t>KONTAKTÖR LC1K0610B7 24V DS</t>
  </si>
  <si>
    <t>10 02304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</si>
</sst>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39" x14ac:knownFonts="1">
    <font>
      <sz val="11"/>
      <color theme="1"/>
      <name val="Calibri"/>
      <family val="2"/>
      <scheme val="minor"/>
    </font>
    <font>
      <b/>
      <sz val="18"/>
      <color rgb="FFFFFFFF"/>
      <name val="Arial"/>
      <charset val="162"/>
    </font>
    <font>
      <i/>
      <sz val="10"/>
      <color rgb="FF666666"/>
      <name val="Arial"/>
      <charset val="162"/>
    </font>
    <font>
      <b/>
      <sz val="11"/>
      <color rgb="FFFFFFFF"/>
      <name val="Arial"/>
      <charset val="162"/>
    </font>
    <font>
      <b/>
      <sz val="10"/>
      <color rgb="FF17365D"/>
      <name val="Arial"/>
      <charset val="162"/>
    </font>
    <font>
      <b/>
      <sz val="10"/>
      <name val="Arial"/>
      <charset val="162"/>
    </font>
    <font>
      <b/>
      <sz val="10"/>
      <color rgb="FF7F6000"/>
      <name val="Arial"/>
      <charset val="162"/>
    </font>
    <font>
      <b/>
      <sz val="12"/>
      <color rgb="FFFFFFFF"/>
      <name val="Arial"/>
      <charset val="162"/>
    </font>
    <font>
      <b/>
      <sz val="10"/>
      <color rgb="FF595959"/>
      <name val="Arial"/>
      <charset val="162"/>
    </font>
    <font>
      <b/>
      <sz val="10"/>
      <color rgb="FF375623"/>
      <name val="Arial"/>
      <charset val="162"/>
    </font>
    <font>
      <b/>
      <sz val="10"/>
      <color rgb="FFC00000"/>
      <name val="Arial"/>
      <charset val="162"/>
    </font>
    <font>
      <b/>
      <sz val="10"/>
      <color rgb="FFFFFFFF"/>
      <name val="Arial"/>
      <charset val="162"/>
    </font>
    <font>
      <sz val="9"/>
      <color rgb="FF555555"/>
      <name val="Arial"/>
      <charset val="162"/>
    </font>
    <font>
      <b/>
      <sz val="14"/>
      <color rgb="FFFFFFFF"/>
      <name val="Arial"/>
      <charset val="162"/>
    </font>
    <font>
      <b/>
      <sz val="14"/>
      <color rgb="FFFFFFFF"/>
      <name val="Aptos"/>
    </font>
    <font>
      <i/>
      <sz val="10"/>
      <color rgb="FF666666"/>
      <name val="Aptos"/>
    </font>
    <font>
      <sz val="9"/>
      <name val="Aptos"/>
    </font>
    <font>
      <b/>
      <sz val="11"/>
      <color rgb="FFFFFFFF"/>
      <name val="Aptos"/>
    </font>
    <font>
      <b/>
      <sz val="9"/>
      <color rgb="FF17365D"/>
      <name val="Aptos"/>
    </font>
    <font>
      <b/>
      <sz val="9"/>
      <name val="Aptos"/>
    </font>
    <font>
      <b/>
      <sz val="10"/>
      <color rgb="FF17365D"/>
      <name val="Aptos"/>
    </font>
    <font>
      <b/>
      <sz val="10"/>
      <color rgb="FF7F6000"/>
      <name val="Aptos"/>
    </font>
    <font>
      <b/>
      <sz val="14"/>
      <color rgb="FF6EE7B7"/>
      <name val="Calibri"/>
    </font>
    <font>
      <b/>
      <sz val="9"/>
      <color rgb="FFFFFFFF"/>
      <name val="Calibri"/>
    </font>
    <font>
      <b/>
      <sz val="10"/>
      <color rgb="FF34D399"/>
      <name val="Calibri"/>
    </font>
    <font>
      <sz val="9"/>
      <color rgb="FF94A3B8"/>
      <name val="Calibri"/>
    </font>
    <font>
      <b/>
      <sz val="9"/>
      <color rgb="FF93C5FD"/>
      <name val="Calibri"/>
    </font>
    <font>
      <b/>
      <sz val="10"/>
      <color rgb="FF64748B"/>
      <name val="Calibri"/>
    </font>
    <font>
      <b/>
      <sz val="11"/>
      <color rgb="FF6EE7B7"/>
      <name val="Calibri"/>
    </font>
    <font>
      <b/>
      <sz val="9"/>
      <color rgb="FFE2E8F0"/>
      <name val="Calibri"/>
    </font>
    <font>
      <sz val="9"/>
      <color rgb="FF1E293B"/>
      <name val="Calibri"/>
    </font>
    <font>
      <u/>
      <sz val="11"/>
      <color theme="10"/>
      <name val="Calibri"/>
      <family val="2"/>
      <scheme val="minor"/>
    </font>
    <font>
      <b/>
      <sz val="11"/>
      <color rgb="FFFFFFFF"/>
      <name val="Calibri"/>
      <family val="2"/>
      <scheme val="minor"/>
    </font>
    <font>
      <b/>
      <sz val="15"/>
      <color rgb="FFFFFFFF"/>
      <name val="Calibri"/>
    </font>
    <font>
      <b/>
      <sz val="15"/>
      <color rgb="FFFFFFFF"/>
      <name val="Calibri"/>
      <family val="2"/>
      <scheme val="minor"/>
    </font>
    <font>
      <u/>
      <sz val="11"/>
      <color rgb="FF0563C1"/>
      <name val="Calibri"/>
      <family val="2"/>
      <scheme val="minor"/>
    </font>
    <font>
      <b/>
      <sz val="15"/>
      <color rgb="FFFFFFFF"/>
      <name val="Aptos"/>
    </font>
    <font>
      <sz val="11"/>
      <color theme="1"/>
      <name val="Aptos"/>
    </font>
    <font>
      <u/>
      <sz val="11"/>
      <color rgb="FF0563C1"/>
      <name val="Aptos"/>
    </font>
  </fonts>
  <fills count="16">
    <fill>
      <patternFill patternType="none"/>
    </fill>
    <fill>
      <patternFill patternType="gray125"/>
    </fill>
    <fill>
      <patternFill patternType="solid">
        <fgColor rgb="FF17365D"/>
        <bgColor indexed="64"/>
      </patternFill>
    </fill>
    <fill>
      <patternFill patternType="solid">
        <fgColor rgb="FF2F75B5"/>
        <bgColor indexed="64"/>
      </patternFill>
    </fill>
    <fill>
      <patternFill patternType="solid">
        <fgColor rgb="FFD9EAF7"/>
        <bgColor indexed="64"/>
      </patternFill>
    </fill>
    <fill>
      <patternFill patternType="solid">
        <fgColor rgb="FFE2F0D9"/>
        <bgColor indexed="64"/>
      </patternFill>
    </fill>
    <fill>
      <patternFill patternType="solid">
        <fgColor rgb="FFFFF2CC"/>
        <bgColor indexed="64"/>
      </patternFill>
    </fill>
    <fill>
      <patternFill patternType="solid">
        <fgColor rgb="FFF2F2F2"/>
        <bgColor indexed="64"/>
      </patternFill>
    </fill>
    <fill>
      <patternFill patternType="solid">
        <fgColor rgb="FFFCE4D6"/>
        <bgColor indexed="64"/>
      </patternFill>
    </fill>
    <fill>
      <patternFill patternType="solid">
        <fgColor rgb="FFF7F9FB"/>
        <bgColor indexed="64"/>
      </patternFill>
    </fill>
    <fill>
      <patternFill patternType="solid">
        <fgColor rgb="FF4472C4"/>
        <bgColor indexed="64"/>
      </patternFill>
    </fill>
    <fill>
      <patternFill patternType="solid">
        <fgColor rgb="FFEAF2F8"/>
        <bgColor indexed="64"/>
      </patternFill>
    </fill>
    <fill>
      <patternFill patternType="solid">
        <fgColor rgb="FF0F4C35"/>
      </patternFill>
    </fill>
    <fill>
      <patternFill patternType="solid">
        <fgColor rgb="FF1E3A5F"/>
      </patternFill>
    </fill>
    <fill>
      <patternFill patternType="solid">
        <fgColor rgb="FF243447"/>
      </patternFill>
    </fill>
    <fill>
      <patternFill patternType="solid">
        <fgColor rgb="FF1F4E78"/>
        <bgColor indexed="64"/>
      </patternFill>
    </fill>
  </fills>
  <borders count="23">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8C6D1"/>
      </left>
      <right style="thin">
        <color rgb="FFB8C6D1"/>
      </right>
      <top style="thin">
        <color rgb="FFB8C6D1"/>
      </top>
      <bottom style="thin">
        <color rgb="FFB8C6D1"/>
      </bottom>
      <diagonal/>
    </border>
    <border>
      <left style="thin">
        <color rgb="FF4472C4"/>
      </left>
      <right/>
      <top style="thin">
        <color rgb="FF4472C4"/>
      </top>
      <bottom/>
      <diagonal/>
    </border>
    <border>
      <left/>
      <right/>
      <top style="thin">
        <color rgb="FF4472C4"/>
      </top>
      <bottom/>
      <diagonal/>
    </border>
    <border>
      <left/>
      <right style="thin">
        <color rgb="FF4472C4"/>
      </right>
      <top style="thin">
        <color rgb="FF4472C4"/>
      </top>
      <bottom/>
      <diagonal/>
    </border>
    <border>
      <left style="thin">
        <color rgb="FF4472C4"/>
      </left>
      <right/>
      <top/>
      <bottom/>
      <diagonal/>
    </border>
    <border>
      <left/>
      <right style="thin">
        <color rgb="FF4472C4"/>
      </right>
      <top/>
      <bottom/>
      <diagonal/>
    </border>
    <border>
      <left style="thin">
        <color rgb="FF4472C4"/>
      </left>
      <right/>
      <top/>
      <bottom style="thin">
        <color rgb="FF4472C4"/>
      </bottom>
      <diagonal/>
    </border>
    <border>
      <left/>
      <right/>
      <top/>
      <bottom style="thin">
        <color rgb="FF4472C4"/>
      </bottom>
      <diagonal/>
    </border>
    <border>
      <left/>
      <right style="thin">
        <color rgb="FF4472C4"/>
      </right>
      <top/>
      <bottom style="thin">
        <color rgb="FF4472C4"/>
      </bottom>
      <diagonal/>
    </border>
    <border>
      <left/>
      <right/>
      <top/>
      <bottom style="thin">
        <color rgb="FFD9D9D9"/>
      </bottom>
      <diagonal/>
    </border>
    <border>
      <left/>
      <right/>
      <top/>
      <bottom style="thin">
        <color rgb="FFBFBFBF"/>
      </bottom>
      <diagonal/>
    </border>
  </borders>
  <cellStyleXfs count="2">
    <xf numFmtId="0" fontId="0" fillId="0" borderId="0"/>
    <xf numFmtId="0" fontId="31" fillId="0" borderId="0" applyNumberFormat="0" applyFill="0" applyBorder="0" applyAlignment="0" applyProtection="0"/>
  </cellStyleXfs>
  <cellXfs count="117">
    <xf numFmtId="0" fontId="0" fillId="0" borderId="0" xfId="0"/>
    <xf numFmtId="0" fontId="0" fillId="0" borderId="0" xfId="0" applyAlignment="1">
      <alignment vertical="center" wrapText="1"/>
    </xf>
    <xf numFmtId="0" fontId="4" fillId="4" borderId="1" xfId="0" applyFont="1" applyFill="1" applyBorder="1" applyAlignment="1">
      <alignment horizontal="center" vertical="top" wrapText="1"/>
    </xf>
    <xf numFmtId="0" fontId="4" fillId="5" borderId="2" xfId="0" applyFont="1" applyFill="1" applyBorder="1" applyAlignment="1">
      <alignment horizontal="center" vertical="top" wrapText="1"/>
    </xf>
    <xf numFmtId="0" fontId="4" fillId="4" borderId="2" xfId="0" applyFont="1" applyFill="1" applyBorder="1" applyAlignment="1">
      <alignment horizontal="center" vertical="top" wrapText="1"/>
    </xf>
    <xf numFmtId="0" fontId="4" fillId="4" borderId="3" xfId="0" applyFont="1" applyFill="1" applyBorder="1" applyAlignment="1">
      <alignment horizontal="center" vertical="top" wrapText="1"/>
    </xf>
    <xf numFmtId="0" fontId="0" fillId="0" borderId="4" xfId="0" applyBorder="1" applyAlignment="1">
      <alignment vertical="top" wrapText="1"/>
    </xf>
    <xf numFmtId="0" fontId="0" fillId="5" borderId="0" xfId="0" applyFill="1" applyAlignment="1">
      <alignment vertical="top" wrapText="1"/>
    </xf>
    <xf numFmtId="0" fontId="0" fillId="0" borderId="0" xfId="0" applyAlignment="1">
      <alignment vertical="top" wrapText="1"/>
    </xf>
    <xf numFmtId="0" fontId="0" fillId="0" borderId="5" xfId="0" applyBorder="1" applyAlignment="1">
      <alignment vertical="top" wrapText="1"/>
    </xf>
    <xf numFmtId="17" fontId="0" fillId="5" borderId="0" xfId="0" applyNumberFormat="1" applyFill="1" applyAlignment="1">
      <alignment vertical="top" wrapText="1"/>
    </xf>
    <xf numFmtId="0" fontId="0" fillId="0" borderId="6" xfId="0" applyBorder="1" applyAlignment="1">
      <alignment vertical="top" wrapText="1"/>
    </xf>
    <xf numFmtId="0" fontId="0" fillId="5" borderId="7" xfId="0" applyFill="1" applyBorder="1" applyAlignment="1">
      <alignment vertical="top" wrapText="1"/>
    </xf>
    <xf numFmtId="0" fontId="0" fillId="0" borderId="7" xfId="0" applyBorder="1" applyAlignment="1">
      <alignment vertical="top" wrapText="1"/>
    </xf>
    <xf numFmtId="0" fontId="0" fillId="0" borderId="8" xfId="0" applyBorder="1" applyAlignment="1">
      <alignment vertical="top" wrapText="1"/>
    </xf>
    <xf numFmtId="3" fontId="0" fillId="0" borderId="0" xfId="0" applyNumberFormat="1" applyAlignment="1">
      <alignment vertical="top" wrapText="1"/>
    </xf>
    <xf numFmtId="2" fontId="0" fillId="0" borderId="0" xfId="0" applyNumberFormat="1" applyAlignment="1">
      <alignment vertical="top" wrapText="1"/>
    </xf>
    <xf numFmtId="2" fontId="5" fillId="5" borderId="0" xfId="0" applyNumberFormat="1" applyFont="1" applyFill="1" applyAlignment="1">
      <alignment vertical="top" wrapText="1"/>
    </xf>
    <xf numFmtId="2" fontId="5" fillId="5" borderId="7" xfId="0" applyNumberFormat="1" applyFont="1" applyFill="1" applyBorder="1" applyAlignment="1">
      <alignment vertical="top" wrapText="1"/>
    </xf>
    <xf numFmtId="2" fontId="0" fillId="0" borderId="7" xfId="0" applyNumberFormat="1" applyBorder="1" applyAlignment="1">
      <alignment vertical="top" wrapText="1"/>
    </xf>
    <xf numFmtId="0" fontId="0" fillId="0" borderId="0" xfId="0" applyAlignment="1">
      <alignment horizontal="left" vertical="top" wrapText="1"/>
    </xf>
    <xf numFmtId="0" fontId="0" fillId="0" borderId="7" xfId="0" applyBorder="1" applyAlignment="1">
      <alignment horizontal="left" vertical="top" wrapText="1"/>
    </xf>
    <xf numFmtId="0" fontId="0" fillId="0" borderId="0" xfId="0" applyAlignment="1">
      <alignment horizontal="left"/>
    </xf>
    <xf numFmtId="0" fontId="4" fillId="4" borderId="2" xfId="0" applyFont="1" applyFill="1" applyBorder="1" applyAlignment="1">
      <alignment horizontal="left" vertical="top" wrapText="1"/>
    </xf>
    <xf numFmtId="9" fontId="0" fillId="0" borderId="0" xfId="0" applyNumberFormat="1" applyAlignment="1">
      <alignment horizontal="left" vertical="top" wrapText="1"/>
    </xf>
    <xf numFmtId="0" fontId="0" fillId="0" borderId="0" xfId="0" applyAlignment="1">
      <alignment wrapText="1"/>
    </xf>
    <xf numFmtId="0" fontId="0" fillId="0" borderId="4" xfId="0" applyBorder="1" applyAlignment="1">
      <alignment horizontal="center" vertical="top" wrapText="1"/>
    </xf>
    <xf numFmtId="0" fontId="0" fillId="0" borderId="0" xfId="0" applyAlignment="1">
      <alignment horizontal="center" vertical="top" wrapText="1"/>
    </xf>
    <xf numFmtId="0" fontId="8" fillId="7" borderId="0" xfId="0" applyFont="1" applyFill="1" applyAlignment="1">
      <alignment horizontal="center" vertical="top" wrapText="1"/>
    </xf>
    <xf numFmtId="0" fontId="6" fillId="6" borderId="0" xfId="0" applyFont="1" applyFill="1" applyAlignment="1">
      <alignment horizontal="center" vertical="top" wrapText="1"/>
    </xf>
    <xf numFmtId="0" fontId="9" fillId="5" borderId="0" xfId="0" applyFont="1" applyFill="1" applyAlignment="1">
      <alignment horizontal="center" vertical="top" wrapText="1"/>
    </xf>
    <xf numFmtId="0" fontId="10" fillId="8" borderId="0" xfId="0" applyFont="1" applyFill="1" applyAlignment="1">
      <alignment horizontal="center" vertical="top" wrapText="1"/>
    </xf>
    <xf numFmtId="0" fontId="0" fillId="0" borderId="6" xfId="0" applyBorder="1" applyAlignment="1">
      <alignment horizontal="center" vertical="top" wrapText="1"/>
    </xf>
    <xf numFmtId="0" fontId="0" fillId="0" borderId="7" xfId="0" applyBorder="1" applyAlignment="1">
      <alignment horizontal="center" vertical="top" wrapText="1"/>
    </xf>
    <xf numFmtId="0" fontId="8" fillId="7" borderId="7" xfId="0" applyFont="1" applyFill="1" applyBorder="1" applyAlignment="1">
      <alignment horizontal="center" vertical="top" wrapText="1"/>
    </xf>
    <xf numFmtId="0" fontId="5" fillId="0" borderId="0" xfId="0" applyFont="1" applyAlignment="1">
      <alignment wrapText="1"/>
    </xf>
    <xf numFmtId="0" fontId="12" fillId="0" borderId="0" xfId="0" applyFont="1" applyAlignment="1">
      <alignment wrapText="1"/>
    </xf>
    <xf numFmtId="0" fontId="6" fillId="6" borderId="0" xfId="0" applyFont="1" applyFill="1" applyAlignment="1">
      <alignment vertical="top" wrapText="1"/>
    </xf>
    <xf numFmtId="0" fontId="9" fillId="5" borderId="0" xfId="0" applyFont="1" applyFill="1" applyAlignment="1">
      <alignment vertical="top" wrapText="1"/>
    </xf>
    <xf numFmtId="0" fontId="6" fillId="6" borderId="7" xfId="0" applyFont="1" applyFill="1" applyBorder="1" applyAlignment="1">
      <alignment vertical="top" wrapText="1"/>
    </xf>
    <xf numFmtId="0" fontId="16" fillId="0" borderId="0" xfId="0" applyFont="1" applyAlignment="1">
      <alignment vertical="center" wrapText="1"/>
    </xf>
    <xf numFmtId="0" fontId="18" fillId="4" borderId="12" xfId="0" applyFont="1" applyFill="1" applyBorder="1" applyAlignment="1">
      <alignment horizontal="center" vertical="center" wrapText="1"/>
    </xf>
    <xf numFmtId="0" fontId="19" fillId="0" borderId="12" xfId="0" applyFont="1" applyBorder="1" applyAlignment="1">
      <alignment horizontal="center" vertical="center" wrapText="1"/>
    </xf>
    <xf numFmtId="0" fontId="16" fillId="0" borderId="12" xfId="0" applyFont="1" applyBorder="1" applyAlignment="1">
      <alignment vertical="center" wrapText="1"/>
    </xf>
    <xf numFmtId="0" fontId="19" fillId="9" borderId="12" xfId="0" applyFont="1" applyFill="1" applyBorder="1" applyAlignment="1">
      <alignment horizontal="center" vertical="center" wrapText="1"/>
    </xf>
    <xf numFmtId="0" fontId="16" fillId="9" borderId="12" xfId="0" applyFont="1" applyFill="1" applyBorder="1" applyAlignment="1">
      <alignment vertical="center" wrapText="1"/>
    </xf>
    <xf numFmtId="0" fontId="23" fillId="13" borderId="0" xfId="0" applyFont="1" applyFill="1" applyAlignment="1">
      <alignment horizontal="center" vertical="center"/>
    </xf>
    <xf numFmtId="0" fontId="24" fillId="0" borderId="0" xfId="0" applyFont="1" applyAlignment="1">
      <alignment horizontal="center" vertical="center"/>
    </xf>
    <xf numFmtId="0" fontId="25" fillId="0" borderId="0" xfId="0" applyFont="1" applyAlignment="1">
      <alignment horizontal="center" vertical="center"/>
    </xf>
    <xf numFmtId="0" fontId="26" fillId="14" borderId="0" xfId="0" applyFont="1" applyFill="1" applyAlignment="1">
      <alignment horizontal="center" vertical="center"/>
    </xf>
    <xf numFmtId="0" fontId="27" fillId="0" borderId="0" xfId="0" applyFont="1" applyAlignment="1">
      <alignment horizontal="center" vertical="center"/>
    </xf>
    <xf numFmtId="0" fontId="29" fillId="13" borderId="0" xfId="0" applyFont="1" applyFill="1" applyAlignment="1">
      <alignment horizontal="center" vertical="center"/>
    </xf>
    <xf numFmtId="0" fontId="30" fillId="0" borderId="0" xfId="0" applyFont="1" applyAlignment="1">
      <alignment horizontal="center" vertical="center"/>
    </xf>
    <xf numFmtId="0" fontId="23" fillId="15" borderId="0" xfId="0" applyFont="1" applyFill="1" applyAlignment="1">
      <alignment horizontal="center" vertical="center"/>
    </xf>
    <xf numFmtId="0" fontId="30" fillId="0" borderId="21" xfId="0" applyFont="1" applyBorder="1" applyAlignment="1">
      <alignment horizontal="center" vertical="center"/>
    </xf>
    <xf numFmtId="0" fontId="23" fillId="15" borderId="0" xfId="0" applyFont="1" applyFill="1" applyAlignment="1">
      <alignment horizontal="center" vertical="center" wrapText="1"/>
    </xf>
    <xf numFmtId="0" fontId="30" fillId="0" borderId="0" xfId="0" applyFont="1" applyAlignment="1">
      <alignment horizontal="center" vertical="center" wrapText="1"/>
    </xf>
    <xf numFmtId="0" fontId="30" fillId="0" borderId="21" xfId="0" applyFont="1" applyBorder="1" applyAlignment="1">
      <alignment horizontal="center" vertical="center" wrapText="1"/>
    </xf>
    <xf numFmtId="0" fontId="32" fillId="15" borderId="0" xfId="0" applyFont="1" applyFill="1" applyAlignment="1">
      <alignment horizontal="center" vertical="center" wrapText="1"/>
    </xf>
    <xf numFmtId="0" fontId="32" fillId="15" borderId="0" xfId="0" applyFont="1" applyFill="1" applyAlignment="1">
      <alignment horizontal="center" vertical="center"/>
    </xf>
    <xf numFmtId="164" fontId="0" fillId="0" borderId="0" xfId="0" applyNumberFormat="1" applyAlignment="1">
      <alignment vertical="center"/>
    </xf>
    <xf numFmtId="0" fontId="0" fillId="0" borderId="21" xfId="0" applyBorder="1" applyAlignment="1">
      <alignment vertical="center" wrapText="1"/>
    </xf>
    <xf numFmtId="164" fontId="0" fillId="0" borderId="21" xfId="0" applyNumberFormat="1" applyBorder="1" applyAlignment="1">
      <alignment vertical="center"/>
    </xf>
    <xf numFmtId="0" fontId="0" fillId="0" borderId="0" xfId="0" applyAlignment="1">
      <alignment vertical="center"/>
    </xf>
    <xf numFmtId="0" fontId="23" fillId="15" borderId="0" xfId="0" applyFont="1" applyFill="1" applyAlignment="1">
      <alignment horizontal="right" vertical="center"/>
    </xf>
    <xf numFmtId="164" fontId="30" fillId="0" borderId="0" xfId="0" applyNumberFormat="1" applyFont="1" applyAlignment="1">
      <alignment horizontal="right" vertical="center"/>
    </xf>
    <xf numFmtId="164" fontId="30" fillId="0" borderId="21" xfId="0" applyNumberFormat="1" applyFont="1" applyBorder="1" applyAlignment="1">
      <alignment horizontal="right" vertical="center"/>
    </xf>
    <xf numFmtId="0" fontId="0" fillId="6" borderId="0" xfId="0" applyFill="1" applyAlignment="1">
      <alignment vertical="center" wrapText="1"/>
    </xf>
    <xf numFmtId="0" fontId="0" fillId="8" borderId="0" xfId="0" applyFill="1" applyAlignment="1">
      <alignment vertical="center" wrapText="1"/>
    </xf>
    <xf numFmtId="0" fontId="0" fillId="5" borderId="0" xfId="0" applyFill="1" applyAlignment="1">
      <alignment vertical="center" wrapText="1"/>
    </xf>
    <xf numFmtId="0" fontId="0" fillId="5" borderId="21" xfId="0" applyFill="1" applyBorder="1" applyAlignment="1">
      <alignment vertical="center" wrapText="1"/>
    </xf>
    <xf numFmtId="0" fontId="33" fillId="2" borderId="0" xfId="0" applyFont="1" applyFill="1" applyAlignment="1">
      <alignment horizontal="center" vertical="center"/>
    </xf>
    <xf numFmtId="164" fontId="23" fillId="15" borderId="0" xfId="0" applyNumberFormat="1" applyFont="1" applyFill="1" applyAlignment="1">
      <alignment horizontal="right" vertical="center"/>
    </xf>
    <xf numFmtId="0" fontId="0" fillId="0" borderId="21" xfId="0" applyBorder="1" applyAlignment="1">
      <alignment vertical="center"/>
    </xf>
    <xf numFmtId="0" fontId="35" fillId="0" borderId="0" xfId="0" applyFont="1" applyAlignment="1">
      <alignment wrapText="1"/>
    </xf>
    <xf numFmtId="0" fontId="31" fillId="0" borderId="0" xfId="1" applyAlignment="1">
      <alignment wrapText="1"/>
    </xf>
    <xf numFmtId="0" fontId="37" fillId="0" borderId="0" xfId="0" applyFont="1"/>
    <xf numFmtId="0" fontId="26" fillId="14" borderId="0" xfId="0" applyFont="1" applyFill="1" applyAlignment="1">
      <alignment horizontal="center" vertical="center"/>
    </xf>
    <xf numFmtId="0" fontId="22" fillId="12" borderId="0" xfId="0" applyFont="1" applyFill="1" applyAlignment="1">
      <alignment horizontal="center" vertical="center"/>
    </xf>
    <xf numFmtId="0" fontId="28" fillId="12" borderId="0" xfId="0" applyFont="1" applyFill="1" applyAlignment="1">
      <alignment horizontal="center" vertical="center"/>
    </xf>
    <xf numFmtId="0" fontId="0" fillId="0" borderId="0" xfId="0" applyAlignment="1">
      <alignment vertical="center"/>
    </xf>
    <xf numFmtId="0" fontId="34" fillId="2" borderId="0" xfId="0" applyFont="1" applyFill="1"/>
    <xf numFmtId="0" fontId="32" fillId="15" borderId="0" xfId="0" applyFont="1" applyFill="1" applyAlignment="1">
      <alignment vertical="center"/>
    </xf>
    <xf numFmtId="0" fontId="32" fillId="15" borderId="0" xfId="0" applyFont="1" applyFill="1" applyAlignment="1">
      <alignment vertical="center" wrapText="1"/>
    </xf>
    <xf numFmtId="0" fontId="0" fillId="0" borderId="0" xfId="0" applyAlignment="1">
      <alignment vertical="center" wrapText="1"/>
    </xf>
    <xf numFmtId="0" fontId="36" fillId="2" borderId="0" xfId="0" applyFont="1" applyFill="1"/>
    <xf numFmtId="0" fontId="17" fillId="15" borderId="0" xfId="0" applyFont="1" applyFill="1" applyAlignment="1">
      <alignment wrapText="1"/>
    </xf>
    <xf numFmtId="0" fontId="37" fillId="7" borderId="0" xfId="0" applyFont="1" applyFill="1" applyAlignment="1">
      <alignment vertical="top" wrapText="1"/>
    </xf>
    <xf numFmtId="0" fontId="37" fillId="7" borderId="22" xfId="0" applyFont="1" applyFill="1" applyBorder="1" applyAlignment="1">
      <alignment vertical="top" wrapText="1"/>
    </xf>
    <xf numFmtId="0" fontId="38" fillId="0" borderId="0" xfId="0" applyFont="1" applyAlignment="1">
      <alignment vertical="top" wrapText="1"/>
    </xf>
    <xf numFmtId="0" fontId="21" fillId="6" borderId="0" xfId="0" applyFont="1" applyFill="1" applyAlignment="1">
      <alignment vertical="center" wrapText="1"/>
    </xf>
    <xf numFmtId="0" fontId="14" fillId="2" borderId="0" xfId="0" applyFont="1" applyFill="1" applyAlignment="1">
      <alignment vertical="center" wrapText="1"/>
    </xf>
    <xf numFmtId="0" fontId="15" fillId="0" borderId="0" xfId="0" applyFont="1" applyAlignment="1">
      <alignment vertical="center" wrapText="1"/>
    </xf>
    <xf numFmtId="0" fontId="17" fillId="10" borderId="0" xfId="0" applyFont="1" applyFill="1" applyAlignment="1">
      <alignment vertical="center" wrapText="1"/>
    </xf>
    <xf numFmtId="0" fontId="20" fillId="11" borderId="13" xfId="0" applyFont="1" applyFill="1" applyBorder="1" applyAlignment="1">
      <alignment vertical="center" wrapText="1"/>
    </xf>
    <xf numFmtId="0" fontId="20" fillId="11" borderId="14" xfId="0" applyFont="1" applyFill="1" applyBorder="1" applyAlignment="1">
      <alignment vertical="center" wrapText="1"/>
    </xf>
    <xf numFmtId="0" fontId="20" fillId="11" borderId="15" xfId="0" applyFont="1" applyFill="1" applyBorder="1" applyAlignment="1">
      <alignment vertical="center" wrapText="1"/>
    </xf>
    <xf numFmtId="0" fontId="20" fillId="11" borderId="16" xfId="0" applyFont="1" applyFill="1" applyBorder="1" applyAlignment="1">
      <alignment vertical="center" wrapText="1"/>
    </xf>
    <xf numFmtId="0" fontId="20" fillId="11" borderId="0" xfId="0" applyFont="1" applyFill="1" applyAlignment="1">
      <alignment vertical="center" wrapText="1"/>
    </xf>
    <xf numFmtId="0" fontId="20" fillId="11" borderId="17" xfId="0" applyFont="1" applyFill="1" applyBorder="1" applyAlignment="1">
      <alignment vertical="center" wrapText="1"/>
    </xf>
    <xf numFmtId="0" fontId="20" fillId="11" borderId="18" xfId="0" applyFont="1" applyFill="1" applyBorder="1" applyAlignment="1">
      <alignment vertical="center" wrapText="1"/>
    </xf>
    <xf numFmtId="0" fontId="20" fillId="11" borderId="19" xfId="0" applyFont="1" applyFill="1" applyBorder="1" applyAlignment="1">
      <alignment vertical="center" wrapText="1"/>
    </xf>
    <xf numFmtId="0" fontId="20" fillId="11" borderId="20" xfId="0" applyFont="1" applyFill="1" applyBorder="1" applyAlignment="1">
      <alignment vertical="center" wrapText="1"/>
    </xf>
    <xf numFmtId="0" fontId="0" fillId="9" borderId="10" xfId="0" applyFill="1" applyBorder="1" applyAlignment="1">
      <alignment vertical="center" wrapText="1"/>
    </xf>
    <xf numFmtId="0" fontId="0" fillId="0" borderId="10" xfId="0" applyBorder="1" applyAlignment="1">
      <alignment vertical="center" wrapText="1"/>
    </xf>
    <xf numFmtId="0" fontId="0" fillId="9" borderId="11" xfId="0" applyFill="1" applyBorder="1" applyAlignment="1">
      <alignment vertical="center" wrapText="1"/>
    </xf>
    <xf numFmtId="0" fontId="2" fillId="0" borderId="0" xfId="0" applyFont="1" applyAlignment="1">
      <alignment wrapText="1"/>
    </xf>
    <xf numFmtId="0" fontId="4" fillId="4" borderId="9" xfId="0" applyFont="1" applyFill="1" applyBorder="1" applyAlignment="1">
      <alignment horizontal="center" vertical="center" wrapText="1"/>
    </xf>
    <xf numFmtId="0" fontId="0" fillId="0" borderId="0" xfId="0" applyAlignment="1">
      <alignment wrapText="1"/>
    </xf>
    <xf numFmtId="0" fontId="13" fillId="2" borderId="0" xfId="0" applyFont="1" applyFill="1"/>
    <xf numFmtId="0" fontId="6" fillId="6" borderId="0" xfId="0" applyFont="1" applyFill="1" applyAlignment="1">
      <alignment wrapText="1"/>
    </xf>
    <xf numFmtId="0" fontId="10" fillId="0" borderId="0" xfId="0" applyFont="1" applyAlignment="1">
      <alignment wrapText="1"/>
    </xf>
    <xf numFmtId="0" fontId="11" fillId="3" borderId="0" xfId="0" applyFont="1" applyFill="1"/>
    <xf numFmtId="0" fontId="7" fillId="3" borderId="0" xfId="0" applyFont="1" applyFill="1"/>
    <xf numFmtId="0" fontId="3" fillId="3" borderId="0" xfId="0" applyFont="1" applyFill="1"/>
    <xf numFmtId="0" fontId="3" fillId="3" borderId="0" xfId="0" applyFont="1" applyFill="1" applyAlignment="1">
      <alignment horizontal="left"/>
    </xf>
    <xf numFmtId="0" fontId="1" fillId="2" borderId="0" xfId="0" applyFont="1" applyFill="1"/>
  </cellXfs>
  <cellStyles count="2">
    <cellStyle name="Köprü"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xdr:col>
      <xdr:colOff>47625</xdr:colOff>
      <xdr:row>197</xdr:row>
      <xdr:rowOff>133350</xdr:rowOff>
    </xdr:from>
    <xdr:to>
      <xdr:col>3</xdr:col>
      <xdr:colOff>1387475</xdr:colOff>
      <xdr:row>238</xdr:row>
      <xdr:rowOff>149225</xdr:rowOff>
    </xdr:to>
    <xdr:sp macro="" textlink="">
      <xdr:nvSpPr>
        <xdr:cNvPr id="2" name="Pano2D_InternalOuter">
          <a:extLst>
            <a:ext uri="{FF2B5EF4-FFF2-40B4-BE49-F238E27FC236}">
              <a16:creationId xmlns:a16="http://schemas.microsoft.com/office/drawing/2014/main" id="{E8295ADE-3DB4-402C-B1CF-52BEC0F1C17D}"/>
            </a:ext>
          </a:extLst>
        </xdr:cNvPr>
        <xdr:cNvSpPr/>
      </xdr:nvSpPr>
      <xdr:spPr>
        <a:xfrm>
          <a:off x="609600" y="76304775"/>
          <a:ext cx="4140200" cy="7826375"/>
        </a:xfrm>
        <a:prstGeom prst="rect">
          <a:avLst/>
        </a:prstGeom>
        <a:solidFill>
          <a:srgbClr val="D9D9D9"/>
        </a:solidFill>
        <a:ln w="12700" cap="flat" cmpd="sng" algn="ctr">
          <a:solidFill>
            <a:srgbClr val="1F1F1F"/>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0" lang="tr-TR" sz="800" b="0" i="0" u="none" strike="noStrike" kern="0" cap="none" spc="0" normalizeH="0" baseline="0" noProof="0">
            <a:ln>
              <a:noFill/>
            </a:ln>
            <a:solidFill>
              <a:srgbClr val="000000"/>
            </a:solidFill>
            <a:effectLst/>
            <a:uLnTx/>
            <a:uFillTx/>
            <a:latin typeface="Aptos Narrow" panose="02110004020202020204"/>
          </a:endParaRPr>
        </a:p>
      </xdr:txBody>
    </xdr:sp>
    <xdr:clientData/>
  </xdr:twoCellAnchor>
  <xdr:twoCellAnchor>
    <xdr:from>
      <xdr:col>1</xdr:col>
      <xdr:colOff>200025</xdr:colOff>
      <xdr:row>198</xdr:row>
      <xdr:rowOff>123825</xdr:rowOff>
    </xdr:from>
    <xdr:to>
      <xdr:col>3</xdr:col>
      <xdr:colOff>1235075</xdr:colOff>
      <xdr:row>237</xdr:row>
      <xdr:rowOff>158750</xdr:rowOff>
    </xdr:to>
    <xdr:sp macro="" textlink="">
      <xdr:nvSpPr>
        <xdr:cNvPr id="3" name="Pano2D_InternalPlate">
          <a:extLst>
            <a:ext uri="{FF2B5EF4-FFF2-40B4-BE49-F238E27FC236}">
              <a16:creationId xmlns:a16="http://schemas.microsoft.com/office/drawing/2014/main" id="{5219C799-EC34-40DA-A5C2-CA83D0AE4832}"/>
            </a:ext>
          </a:extLst>
        </xdr:cNvPr>
        <xdr:cNvSpPr/>
      </xdr:nvSpPr>
      <xdr:spPr>
        <a:xfrm>
          <a:off x="762000" y="76485750"/>
          <a:ext cx="3835400" cy="7464425"/>
        </a:xfrm>
        <a:prstGeom prst="rect">
          <a:avLst/>
        </a:prstGeom>
        <a:solidFill>
          <a:srgbClr val="F8F8F8"/>
        </a:solidFill>
        <a:ln w="12700" cap="flat" cmpd="sng" algn="ctr">
          <a:solidFill>
            <a:srgbClr val="7F7F7F"/>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0" lang="tr-TR" sz="800" b="0" i="0" u="none" strike="noStrike" kern="0" cap="none" spc="0" normalizeH="0" baseline="0" noProof="0">
            <a:ln>
              <a:noFill/>
            </a:ln>
            <a:solidFill>
              <a:srgbClr val="000000"/>
            </a:solidFill>
            <a:effectLst/>
            <a:uLnTx/>
            <a:uFillTx/>
            <a:latin typeface="Aptos Narrow" panose="02110004020202020204"/>
          </a:endParaRPr>
        </a:p>
      </xdr:txBody>
    </xdr:sp>
    <xdr:clientData/>
  </xdr:twoCellAnchor>
  <xdr:twoCellAnchor>
    <xdr:from>
      <xdr:col>1</xdr:col>
      <xdr:colOff>47625</xdr:colOff>
      <xdr:row>195</xdr:row>
      <xdr:rowOff>139700</xdr:rowOff>
    </xdr:from>
    <xdr:to>
      <xdr:col>3</xdr:col>
      <xdr:colOff>1387475</xdr:colOff>
      <xdr:row>197</xdr:row>
      <xdr:rowOff>57150</xdr:rowOff>
    </xdr:to>
    <xdr:sp macro="" textlink="">
      <xdr:nvSpPr>
        <xdr:cNvPr id="4" name="Pano2D_InternalTitle">
          <a:extLst>
            <a:ext uri="{FF2B5EF4-FFF2-40B4-BE49-F238E27FC236}">
              <a16:creationId xmlns:a16="http://schemas.microsoft.com/office/drawing/2014/main" id="{E001691D-C538-452E-BFDC-CDDC9C0D4FFC}"/>
            </a:ext>
          </a:extLst>
        </xdr:cNvPr>
        <xdr:cNvSpPr/>
      </xdr:nvSpPr>
      <xdr:spPr>
        <a:xfrm>
          <a:off x="609600" y="75930125"/>
          <a:ext cx="4140200" cy="298450"/>
        </a:xfrm>
        <a:prstGeom prst="rect">
          <a:avLst/>
        </a:prstGeom>
        <a:solidFill>
          <a:srgbClr val="FFFFFF"/>
        </a:solidFill>
        <a:ln w="12700" cap="flat" cmpd="sng" algn="ctr">
          <a:solidFill>
            <a:srgbClr val="FFFFFF"/>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0" lang="tr-TR" sz="1000" b="1" i="0" u="none" strike="noStrike" kern="0" cap="none" spc="0" normalizeH="0" baseline="0" noProof="0">
              <a:ln>
                <a:noFill/>
              </a:ln>
              <a:solidFill>
                <a:srgbClr val="17365D"/>
              </a:solidFill>
              <a:effectLst/>
              <a:uLnTx/>
              <a:uFillTx/>
              <a:latin typeface="Aptos Narrow" panose="02110004020202020204"/>
            </a:rPr>
            <a:t>İÇ MONTAJ PLAKASI — 420 × 710 mm kullanılabilir alan</a:t>
          </a:r>
        </a:p>
      </xdr:txBody>
    </xdr:sp>
    <xdr:clientData/>
  </xdr:twoCellAnchor>
  <xdr:twoCellAnchor>
    <xdr:from>
      <xdr:col>1</xdr:col>
      <xdr:colOff>1127125</xdr:colOff>
      <xdr:row>197</xdr:row>
      <xdr:rowOff>44450</xdr:rowOff>
    </xdr:from>
    <xdr:to>
      <xdr:col>3</xdr:col>
      <xdr:colOff>358775</xdr:colOff>
      <xdr:row>198</xdr:row>
      <xdr:rowOff>60325</xdr:rowOff>
    </xdr:to>
    <xdr:sp macro="" textlink="">
      <xdr:nvSpPr>
        <xdr:cNvPr id="5" name="Pano2D_DimTop">
          <a:extLst>
            <a:ext uri="{FF2B5EF4-FFF2-40B4-BE49-F238E27FC236}">
              <a16:creationId xmlns:a16="http://schemas.microsoft.com/office/drawing/2014/main" id="{5AA2B6D9-B387-42E8-8EB9-E93B6F221072}"/>
            </a:ext>
          </a:extLst>
        </xdr:cNvPr>
        <xdr:cNvSpPr/>
      </xdr:nvSpPr>
      <xdr:spPr>
        <a:xfrm>
          <a:off x="1689100" y="76215875"/>
          <a:ext cx="2032000" cy="206375"/>
        </a:xfrm>
        <a:prstGeom prst="rect">
          <a:avLst/>
        </a:prstGeom>
        <a:solidFill>
          <a:srgbClr val="FFFFFF"/>
        </a:solidFill>
        <a:ln w="12700" cap="flat" cmpd="sng" algn="ctr">
          <a:solidFill>
            <a:srgbClr val="FFFFFF"/>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0" lang="tr-TR" sz="800" b="1" i="0" u="none" strike="noStrike" kern="0" cap="none" spc="0" normalizeH="0" baseline="0" noProof="0">
              <a:ln>
                <a:noFill/>
              </a:ln>
              <a:solidFill>
                <a:srgbClr val="595959"/>
              </a:solidFill>
              <a:effectLst/>
              <a:uLnTx/>
              <a:uFillTx/>
              <a:latin typeface="Aptos Narrow" panose="02110004020202020204"/>
            </a:rPr>
            <a:t>← 480 mm →</a:t>
          </a:r>
        </a:p>
      </xdr:txBody>
    </xdr:sp>
    <xdr:clientData/>
  </xdr:twoCellAnchor>
  <xdr:twoCellAnchor>
    <xdr:from>
      <xdr:col>0</xdr:col>
      <xdr:colOff>190500</xdr:colOff>
      <xdr:row>215</xdr:row>
      <xdr:rowOff>12700</xdr:rowOff>
    </xdr:from>
    <xdr:to>
      <xdr:col>0</xdr:col>
      <xdr:colOff>546100</xdr:colOff>
      <xdr:row>219</xdr:row>
      <xdr:rowOff>63500</xdr:rowOff>
    </xdr:to>
    <xdr:sp macro="" textlink="">
      <xdr:nvSpPr>
        <xdr:cNvPr id="6" name="Pano2D_DimSide">
          <a:extLst>
            <a:ext uri="{FF2B5EF4-FFF2-40B4-BE49-F238E27FC236}">
              <a16:creationId xmlns:a16="http://schemas.microsoft.com/office/drawing/2014/main" id="{C2D5466B-34DA-4676-9C41-3A75736AF57F}"/>
            </a:ext>
          </a:extLst>
        </xdr:cNvPr>
        <xdr:cNvSpPr/>
      </xdr:nvSpPr>
      <xdr:spPr>
        <a:xfrm>
          <a:off x="190500" y="79613125"/>
          <a:ext cx="355600" cy="812800"/>
        </a:xfrm>
        <a:prstGeom prst="rect">
          <a:avLst/>
        </a:prstGeom>
        <a:solidFill>
          <a:srgbClr val="FFFFFF"/>
        </a:solidFill>
        <a:ln w="12700" cap="flat" cmpd="sng" algn="ctr">
          <a:solidFill>
            <a:srgbClr val="FFFFFF"/>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0" lang="tr-TR" sz="800" b="1" i="0" u="none" strike="noStrike" kern="0" cap="none" spc="0" normalizeH="0" baseline="0" noProof="0">
              <a:ln>
                <a:noFill/>
              </a:ln>
              <a:solidFill>
                <a:srgbClr val="595959"/>
              </a:solidFill>
              <a:effectLst/>
              <a:uLnTx/>
              <a:uFillTx/>
              <a:latin typeface="Aptos Narrow" panose="02110004020202020204"/>
            </a:rPr>
            <a:t>770
mm</a:t>
          </a:r>
        </a:p>
      </xdr:txBody>
    </xdr:sp>
    <xdr:clientData/>
  </xdr:twoCellAnchor>
  <xdr:twoCellAnchor>
    <xdr:from>
      <xdr:col>1</xdr:col>
      <xdr:colOff>276225</xdr:colOff>
      <xdr:row>200</xdr:row>
      <xdr:rowOff>3175</xdr:rowOff>
    </xdr:from>
    <xdr:to>
      <xdr:col>1</xdr:col>
      <xdr:colOff>504825</xdr:colOff>
      <xdr:row>236</xdr:row>
      <xdr:rowOff>92075</xdr:rowOff>
    </xdr:to>
    <xdr:sp macro="" textlink="">
      <xdr:nvSpPr>
        <xdr:cNvPr id="7" name="Pano2D_DuctLeft">
          <a:extLst>
            <a:ext uri="{FF2B5EF4-FFF2-40B4-BE49-F238E27FC236}">
              <a16:creationId xmlns:a16="http://schemas.microsoft.com/office/drawing/2014/main" id="{B483330B-69AC-4A24-BEA1-A60865A730E4}"/>
            </a:ext>
          </a:extLst>
        </xdr:cNvPr>
        <xdr:cNvSpPr/>
      </xdr:nvSpPr>
      <xdr:spPr>
        <a:xfrm>
          <a:off x="838200" y="76746100"/>
          <a:ext cx="228600" cy="6946900"/>
        </a:xfrm>
        <a:prstGeom prst="rect">
          <a:avLst/>
        </a:prstGeom>
        <a:solidFill>
          <a:srgbClr val="BFBFBF"/>
        </a:solidFill>
        <a:ln w="12700" cap="flat" cmpd="sng" algn="ctr">
          <a:solidFill>
            <a:srgbClr val="7F7F7F"/>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0" lang="tr-TR" sz="600" b="1" i="0" u="none" strike="noStrike" kern="0" cap="none" spc="0" normalizeH="0" baseline="0" noProof="0">
              <a:ln>
                <a:noFill/>
              </a:ln>
              <a:solidFill>
                <a:srgbClr val="404040"/>
              </a:solidFill>
              <a:effectLst/>
              <a:uLnTx/>
              <a:uFillTx/>
              <a:latin typeface="Aptos Narrow" panose="02110004020202020204"/>
            </a:rPr>
            <a:t>DİKEY
KANAL</a:t>
          </a:r>
        </a:p>
      </xdr:txBody>
    </xdr:sp>
    <xdr:clientData/>
  </xdr:twoCellAnchor>
  <xdr:twoCellAnchor>
    <xdr:from>
      <xdr:col>3</xdr:col>
      <xdr:colOff>930275</xdr:colOff>
      <xdr:row>200</xdr:row>
      <xdr:rowOff>3175</xdr:rowOff>
    </xdr:from>
    <xdr:to>
      <xdr:col>3</xdr:col>
      <xdr:colOff>1158875</xdr:colOff>
      <xdr:row>236</xdr:row>
      <xdr:rowOff>92075</xdr:rowOff>
    </xdr:to>
    <xdr:sp macro="" textlink="">
      <xdr:nvSpPr>
        <xdr:cNvPr id="8" name="Pano2D_DuctRight">
          <a:extLst>
            <a:ext uri="{FF2B5EF4-FFF2-40B4-BE49-F238E27FC236}">
              <a16:creationId xmlns:a16="http://schemas.microsoft.com/office/drawing/2014/main" id="{EC9D0AE1-54EF-44F5-9CC2-8182D48F8DF9}"/>
            </a:ext>
          </a:extLst>
        </xdr:cNvPr>
        <xdr:cNvSpPr/>
      </xdr:nvSpPr>
      <xdr:spPr>
        <a:xfrm>
          <a:off x="4292600" y="76746100"/>
          <a:ext cx="228600" cy="6946900"/>
        </a:xfrm>
        <a:prstGeom prst="rect">
          <a:avLst/>
        </a:prstGeom>
        <a:solidFill>
          <a:srgbClr val="BFBFBF"/>
        </a:solidFill>
        <a:ln w="12700" cap="flat" cmpd="sng" algn="ctr">
          <a:solidFill>
            <a:srgbClr val="7F7F7F"/>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0" lang="tr-TR" sz="600" b="1" i="0" u="none" strike="noStrike" kern="0" cap="none" spc="0" normalizeH="0" baseline="0" noProof="0">
              <a:ln>
                <a:noFill/>
              </a:ln>
              <a:solidFill>
                <a:srgbClr val="404040"/>
              </a:solidFill>
              <a:effectLst/>
              <a:uLnTx/>
              <a:uFillTx/>
              <a:latin typeface="Aptos Narrow" panose="02110004020202020204"/>
            </a:rPr>
            <a:t>DİKEY
KANAL</a:t>
          </a:r>
        </a:p>
      </xdr:txBody>
    </xdr:sp>
    <xdr:clientData/>
  </xdr:twoCellAnchor>
  <xdr:twoCellAnchor>
    <xdr:from>
      <xdr:col>1</xdr:col>
      <xdr:colOff>530225</xdr:colOff>
      <xdr:row>203</xdr:row>
      <xdr:rowOff>114300</xdr:rowOff>
    </xdr:from>
    <xdr:to>
      <xdr:col>3</xdr:col>
      <xdr:colOff>904875</xdr:colOff>
      <xdr:row>204</xdr:row>
      <xdr:rowOff>117475</xdr:rowOff>
    </xdr:to>
    <xdr:sp macro="" textlink="">
      <xdr:nvSpPr>
        <xdr:cNvPr id="9" name="Pano2D_DuctH0">
          <a:extLst>
            <a:ext uri="{FF2B5EF4-FFF2-40B4-BE49-F238E27FC236}">
              <a16:creationId xmlns:a16="http://schemas.microsoft.com/office/drawing/2014/main" id="{26FCC00C-3CD9-4F46-BC53-49B22676EEEA}"/>
            </a:ext>
          </a:extLst>
        </xdr:cNvPr>
        <xdr:cNvSpPr/>
      </xdr:nvSpPr>
      <xdr:spPr>
        <a:xfrm>
          <a:off x="1092200" y="77428725"/>
          <a:ext cx="3175000" cy="193675"/>
        </a:xfrm>
        <a:prstGeom prst="rect">
          <a:avLst/>
        </a:prstGeom>
        <a:solidFill>
          <a:srgbClr val="BFBFBF"/>
        </a:solidFill>
        <a:ln w="12700" cap="flat" cmpd="sng" algn="ctr">
          <a:solidFill>
            <a:srgbClr val="7F7F7F"/>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0" lang="tr-TR" sz="600" b="0" i="0" u="none" strike="noStrike" kern="0" cap="none" spc="0" normalizeH="0" baseline="0" noProof="0">
              <a:ln>
                <a:noFill/>
              </a:ln>
              <a:solidFill>
                <a:srgbClr val="404040"/>
              </a:solidFill>
              <a:effectLst/>
              <a:uLnTx/>
              <a:uFillTx/>
              <a:latin typeface="Aptos Narrow" panose="02110004020202020204"/>
            </a:rPr>
            <a:t>KABLO KANALI</a:t>
          </a:r>
        </a:p>
      </xdr:txBody>
    </xdr:sp>
    <xdr:clientData/>
  </xdr:twoCellAnchor>
  <xdr:twoCellAnchor>
    <xdr:from>
      <xdr:col>1</xdr:col>
      <xdr:colOff>530225</xdr:colOff>
      <xdr:row>212</xdr:row>
      <xdr:rowOff>15875</xdr:rowOff>
    </xdr:from>
    <xdr:to>
      <xdr:col>3</xdr:col>
      <xdr:colOff>904875</xdr:colOff>
      <xdr:row>213</xdr:row>
      <xdr:rowOff>19050</xdr:rowOff>
    </xdr:to>
    <xdr:sp macro="" textlink="">
      <xdr:nvSpPr>
        <xdr:cNvPr id="10" name="Pano2D_DuctH1">
          <a:extLst>
            <a:ext uri="{FF2B5EF4-FFF2-40B4-BE49-F238E27FC236}">
              <a16:creationId xmlns:a16="http://schemas.microsoft.com/office/drawing/2014/main" id="{29E50C97-BB6B-4F84-A375-A9CD3667CBA0}"/>
            </a:ext>
          </a:extLst>
        </xdr:cNvPr>
        <xdr:cNvSpPr/>
      </xdr:nvSpPr>
      <xdr:spPr>
        <a:xfrm>
          <a:off x="1092200" y="79044800"/>
          <a:ext cx="3175000" cy="193675"/>
        </a:xfrm>
        <a:prstGeom prst="rect">
          <a:avLst/>
        </a:prstGeom>
        <a:solidFill>
          <a:srgbClr val="BFBFBF"/>
        </a:solidFill>
        <a:ln w="12700" cap="flat" cmpd="sng" algn="ctr">
          <a:solidFill>
            <a:srgbClr val="7F7F7F"/>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0" lang="tr-TR" sz="600" b="0" i="0" u="none" strike="noStrike" kern="0" cap="none" spc="0" normalizeH="0" baseline="0" noProof="0">
              <a:ln>
                <a:noFill/>
              </a:ln>
              <a:solidFill>
                <a:srgbClr val="404040"/>
              </a:solidFill>
              <a:effectLst/>
              <a:uLnTx/>
              <a:uFillTx/>
              <a:latin typeface="Aptos Narrow" panose="02110004020202020204"/>
            </a:rPr>
            <a:t>KABLO KANALI</a:t>
          </a:r>
        </a:p>
      </xdr:txBody>
    </xdr:sp>
    <xdr:clientData/>
  </xdr:twoCellAnchor>
  <xdr:twoCellAnchor>
    <xdr:from>
      <xdr:col>1</xdr:col>
      <xdr:colOff>530225</xdr:colOff>
      <xdr:row>220</xdr:row>
      <xdr:rowOff>66675</xdr:rowOff>
    </xdr:from>
    <xdr:to>
      <xdr:col>3</xdr:col>
      <xdr:colOff>904875</xdr:colOff>
      <xdr:row>221</xdr:row>
      <xdr:rowOff>69850</xdr:rowOff>
    </xdr:to>
    <xdr:sp macro="" textlink="">
      <xdr:nvSpPr>
        <xdr:cNvPr id="11" name="Pano2D_DuctH2">
          <a:extLst>
            <a:ext uri="{FF2B5EF4-FFF2-40B4-BE49-F238E27FC236}">
              <a16:creationId xmlns:a16="http://schemas.microsoft.com/office/drawing/2014/main" id="{615DA174-D156-45B7-B6C5-0B5319EAE68C}"/>
            </a:ext>
          </a:extLst>
        </xdr:cNvPr>
        <xdr:cNvSpPr/>
      </xdr:nvSpPr>
      <xdr:spPr>
        <a:xfrm>
          <a:off x="1092200" y="80619600"/>
          <a:ext cx="3175000" cy="193675"/>
        </a:xfrm>
        <a:prstGeom prst="rect">
          <a:avLst/>
        </a:prstGeom>
        <a:solidFill>
          <a:srgbClr val="BFBFBF"/>
        </a:solidFill>
        <a:ln w="12700" cap="flat" cmpd="sng" algn="ctr">
          <a:solidFill>
            <a:srgbClr val="7F7F7F"/>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0" lang="tr-TR" sz="600" b="0" i="0" u="none" strike="noStrike" kern="0" cap="none" spc="0" normalizeH="0" baseline="0" noProof="0">
              <a:ln>
                <a:noFill/>
              </a:ln>
              <a:solidFill>
                <a:srgbClr val="404040"/>
              </a:solidFill>
              <a:effectLst/>
              <a:uLnTx/>
              <a:uFillTx/>
              <a:latin typeface="Aptos Narrow" panose="02110004020202020204"/>
            </a:rPr>
            <a:t>KABLO KANALI</a:t>
          </a:r>
        </a:p>
      </xdr:txBody>
    </xdr:sp>
    <xdr:clientData/>
  </xdr:twoCellAnchor>
  <xdr:twoCellAnchor>
    <xdr:from>
      <xdr:col>1</xdr:col>
      <xdr:colOff>530225</xdr:colOff>
      <xdr:row>228</xdr:row>
      <xdr:rowOff>104775</xdr:rowOff>
    </xdr:from>
    <xdr:to>
      <xdr:col>3</xdr:col>
      <xdr:colOff>904875</xdr:colOff>
      <xdr:row>229</xdr:row>
      <xdr:rowOff>107950</xdr:rowOff>
    </xdr:to>
    <xdr:sp macro="" textlink="">
      <xdr:nvSpPr>
        <xdr:cNvPr id="12" name="Pano2D_DuctH3">
          <a:extLst>
            <a:ext uri="{FF2B5EF4-FFF2-40B4-BE49-F238E27FC236}">
              <a16:creationId xmlns:a16="http://schemas.microsoft.com/office/drawing/2014/main" id="{2097111E-6BD2-462C-A1FB-613C95DD8B91}"/>
            </a:ext>
          </a:extLst>
        </xdr:cNvPr>
        <xdr:cNvSpPr/>
      </xdr:nvSpPr>
      <xdr:spPr>
        <a:xfrm>
          <a:off x="1092200" y="82181700"/>
          <a:ext cx="3175000" cy="193675"/>
        </a:xfrm>
        <a:prstGeom prst="rect">
          <a:avLst/>
        </a:prstGeom>
        <a:solidFill>
          <a:srgbClr val="BFBFBF"/>
        </a:solidFill>
        <a:ln w="12700" cap="flat" cmpd="sng" algn="ctr">
          <a:solidFill>
            <a:srgbClr val="7F7F7F"/>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0" lang="tr-TR" sz="600" b="0" i="0" u="none" strike="noStrike" kern="0" cap="none" spc="0" normalizeH="0" baseline="0" noProof="0">
              <a:ln>
                <a:noFill/>
              </a:ln>
              <a:solidFill>
                <a:srgbClr val="404040"/>
              </a:solidFill>
              <a:effectLst/>
              <a:uLnTx/>
              <a:uFillTx/>
              <a:latin typeface="Aptos Narrow" panose="02110004020202020204"/>
            </a:rPr>
            <a:t>KABLO KANALI</a:t>
          </a:r>
        </a:p>
      </xdr:txBody>
    </xdr:sp>
    <xdr:clientData/>
  </xdr:twoCellAnchor>
  <xdr:twoCellAnchor>
    <xdr:from>
      <xdr:col>1</xdr:col>
      <xdr:colOff>530225</xdr:colOff>
      <xdr:row>234</xdr:row>
      <xdr:rowOff>85725</xdr:rowOff>
    </xdr:from>
    <xdr:to>
      <xdr:col>3</xdr:col>
      <xdr:colOff>904875</xdr:colOff>
      <xdr:row>235</xdr:row>
      <xdr:rowOff>88900</xdr:rowOff>
    </xdr:to>
    <xdr:sp macro="" textlink="">
      <xdr:nvSpPr>
        <xdr:cNvPr id="13" name="Pano2D_DuctH4">
          <a:extLst>
            <a:ext uri="{FF2B5EF4-FFF2-40B4-BE49-F238E27FC236}">
              <a16:creationId xmlns:a16="http://schemas.microsoft.com/office/drawing/2014/main" id="{78507956-5DFA-4EF3-AF60-AC74881CD853}"/>
            </a:ext>
          </a:extLst>
        </xdr:cNvPr>
        <xdr:cNvSpPr/>
      </xdr:nvSpPr>
      <xdr:spPr>
        <a:xfrm>
          <a:off x="1092200" y="83305650"/>
          <a:ext cx="3175000" cy="193675"/>
        </a:xfrm>
        <a:prstGeom prst="rect">
          <a:avLst/>
        </a:prstGeom>
        <a:solidFill>
          <a:srgbClr val="BFBFBF"/>
        </a:solidFill>
        <a:ln w="12700" cap="flat" cmpd="sng" algn="ctr">
          <a:solidFill>
            <a:srgbClr val="7F7F7F"/>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0" lang="tr-TR" sz="600" b="0" i="0" u="none" strike="noStrike" kern="0" cap="none" spc="0" normalizeH="0" baseline="0" noProof="0">
              <a:ln>
                <a:noFill/>
              </a:ln>
              <a:solidFill>
                <a:srgbClr val="404040"/>
              </a:solidFill>
              <a:effectLst/>
              <a:uLnTx/>
              <a:uFillTx/>
              <a:latin typeface="Aptos Narrow" panose="02110004020202020204"/>
            </a:rPr>
            <a:t>KABLO KANALI</a:t>
          </a:r>
        </a:p>
      </xdr:txBody>
    </xdr:sp>
    <xdr:clientData/>
  </xdr:twoCellAnchor>
  <xdr:twoCellAnchor>
    <xdr:from>
      <xdr:col>1</xdr:col>
      <xdr:colOff>593725</xdr:colOff>
      <xdr:row>201</xdr:row>
      <xdr:rowOff>95250</xdr:rowOff>
    </xdr:from>
    <xdr:to>
      <xdr:col>3</xdr:col>
      <xdr:colOff>841375</xdr:colOff>
      <xdr:row>201</xdr:row>
      <xdr:rowOff>158750</xdr:rowOff>
    </xdr:to>
    <xdr:sp macro="" textlink="">
      <xdr:nvSpPr>
        <xdr:cNvPr id="14" name="Pano2D_Rail0">
          <a:extLst>
            <a:ext uri="{FF2B5EF4-FFF2-40B4-BE49-F238E27FC236}">
              <a16:creationId xmlns:a16="http://schemas.microsoft.com/office/drawing/2014/main" id="{A329E1EB-5B46-4A6B-8CC6-CEFEC8A04FB3}"/>
            </a:ext>
          </a:extLst>
        </xdr:cNvPr>
        <xdr:cNvSpPr/>
      </xdr:nvSpPr>
      <xdr:spPr>
        <a:xfrm>
          <a:off x="1155700" y="77028675"/>
          <a:ext cx="3048000" cy="63500"/>
        </a:xfrm>
        <a:prstGeom prst="rect">
          <a:avLst/>
        </a:prstGeom>
        <a:solidFill>
          <a:srgbClr val="808080"/>
        </a:solidFill>
        <a:ln w="12700" cap="flat" cmpd="sng" algn="ctr">
          <a:solidFill>
            <a:srgbClr val="595959"/>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0" lang="tr-TR" sz="800" b="0" i="0" u="none" strike="noStrike" kern="0" cap="none" spc="0" normalizeH="0" baseline="0" noProof="0">
            <a:ln>
              <a:noFill/>
            </a:ln>
            <a:solidFill>
              <a:srgbClr val="000000"/>
            </a:solidFill>
            <a:effectLst/>
            <a:uLnTx/>
            <a:uFillTx/>
            <a:latin typeface="Aptos Narrow" panose="02110004020202020204"/>
          </a:endParaRPr>
        </a:p>
      </xdr:txBody>
    </xdr:sp>
    <xdr:clientData/>
  </xdr:twoCellAnchor>
  <xdr:twoCellAnchor>
    <xdr:from>
      <xdr:col>1</xdr:col>
      <xdr:colOff>593725</xdr:colOff>
      <xdr:row>206</xdr:row>
      <xdr:rowOff>60325</xdr:rowOff>
    </xdr:from>
    <xdr:to>
      <xdr:col>3</xdr:col>
      <xdr:colOff>841375</xdr:colOff>
      <xdr:row>206</xdr:row>
      <xdr:rowOff>123825</xdr:rowOff>
    </xdr:to>
    <xdr:sp macro="" textlink="">
      <xdr:nvSpPr>
        <xdr:cNvPr id="15" name="Pano2D_Rail1">
          <a:extLst>
            <a:ext uri="{FF2B5EF4-FFF2-40B4-BE49-F238E27FC236}">
              <a16:creationId xmlns:a16="http://schemas.microsoft.com/office/drawing/2014/main" id="{2C1E6FE6-48CB-4777-95BC-404A232EBB69}"/>
            </a:ext>
          </a:extLst>
        </xdr:cNvPr>
        <xdr:cNvSpPr/>
      </xdr:nvSpPr>
      <xdr:spPr>
        <a:xfrm>
          <a:off x="1155700" y="77946250"/>
          <a:ext cx="3048000" cy="63500"/>
        </a:xfrm>
        <a:prstGeom prst="rect">
          <a:avLst/>
        </a:prstGeom>
        <a:solidFill>
          <a:srgbClr val="808080"/>
        </a:solidFill>
        <a:ln w="12700" cap="flat" cmpd="sng" algn="ctr">
          <a:solidFill>
            <a:srgbClr val="595959"/>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0" lang="tr-TR" sz="800" b="0" i="0" u="none" strike="noStrike" kern="0" cap="none" spc="0" normalizeH="0" baseline="0" noProof="0">
            <a:ln>
              <a:noFill/>
            </a:ln>
            <a:solidFill>
              <a:srgbClr val="000000"/>
            </a:solidFill>
            <a:effectLst/>
            <a:uLnTx/>
            <a:uFillTx/>
            <a:latin typeface="Aptos Narrow" panose="02110004020202020204"/>
          </a:endParaRPr>
        </a:p>
      </xdr:txBody>
    </xdr:sp>
    <xdr:clientData/>
  </xdr:twoCellAnchor>
  <xdr:twoCellAnchor>
    <xdr:from>
      <xdr:col>1</xdr:col>
      <xdr:colOff>593725</xdr:colOff>
      <xdr:row>209</xdr:row>
      <xdr:rowOff>146050</xdr:rowOff>
    </xdr:from>
    <xdr:to>
      <xdr:col>3</xdr:col>
      <xdr:colOff>841375</xdr:colOff>
      <xdr:row>210</xdr:row>
      <xdr:rowOff>47625</xdr:rowOff>
    </xdr:to>
    <xdr:sp macro="" textlink="">
      <xdr:nvSpPr>
        <xdr:cNvPr id="16" name="Pano2D_Rail2">
          <a:extLst>
            <a:ext uri="{FF2B5EF4-FFF2-40B4-BE49-F238E27FC236}">
              <a16:creationId xmlns:a16="http://schemas.microsoft.com/office/drawing/2014/main" id="{A02932FD-2CA9-4448-BD87-33B36A722D7E}"/>
            </a:ext>
          </a:extLst>
        </xdr:cNvPr>
        <xdr:cNvSpPr/>
      </xdr:nvSpPr>
      <xdr:spPr>
        <a:xfrm>
          <a:off x="1155700" y="78603475"/>
          <a:ext cx="3048000" cy="92075"/>
        </a:xfrm>
        <a:prstGeom prst="rect">
          <a:avLst/>
        </a:prstGeom>
        <a:solidFill>
          <a:srgbClr val="808080"/>
        </a:solidFill>
        <a:ln w="12700" cap="flat" cmpd="sng" algn="ctr">
          <a:solidFill>
            <a:srgbClr val="595959"/>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0" lang="tr-TR" sz="800" b="0" i="0" u="none" strike="noStrike" kern="0" cap="none" spc="0" normalizeH="0" baseline="0" noProof="0">
            <a:ln>
              <a:noFill/>
            </a:ln>
            <a:solidFill>
              <a:srgbClr val="000000"/>
            </a:solidFill>
            <a:effectLst/>
            <a:uLnTx/>
            <a:uFillTx/>
            <a:latin typeface="Aptos Narrow" panose="02110004020202020204"/>
          </a:endParaRPr>
        </a:p>
      </xdr:txBody>
    </xdr:sp>
    <xdr:clientData/>
  </xdr:twoCellAnchor>
  <xdr:twoCellAnchor>
    <xdr:from>
      <xdr:col>1</xdr:col>
      <xdr:colOff>593725</xdr:colOff>
      <xdr:row>214</xdr:row>
      <xdr:rowOff>85725</xdr:rowOff>
    </xdr:from>
    <xdr:to>
      <xdr:col>3</xdr:col>
      <xdr:colOff>841375</xdr:colOff>
      <xdr:row>214</xdr:row>
      <xdr:rowOff>149225</xdr:rowOff>
    </xdr:to>
    <xdr:sp macro="" textlink="">
      <xdr:nvSpPr>
        <xdr:cNvPr id="17" name="Pano2D_Rail3">
          <a:extLst>
            <a:ext uri="{FF2B5EF4-FFF2-40B4-BE49-F238E27FC236}">
              <a16:creationId xmlns:a16="http://schemas.microsoft.com/office/drawing/2014/main" id="{65157412-3CA4-40AD-8830-ABE0A91E5ABB}"/>
            </a:ext>
          </a:extLst>
        </xdr:cNvPr>
        <xdr:cNvSpPr/>
      </xdr:nvSpPr>
      <xdr:spPr>
        <a:xfrm>
          <a:off x="1155700" y="79495650"/>
          <a:ext cx="3048000" cy="63500"/>
        </a:xfrm>
        <a:prstGeom prst="rect">
          <a:avLst/>
        </a:prstGeom>
        <a:solidFill>
          <a:srgbClr val="808080"/>
        </a:solidFill>
        <a:ln w="12700" cap="flat" cmpd="sng" algn="ctr">
          <a:solidFill>
            <a:srgbClr val="595959"/>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0" lang="tr-TR" sz="800" b="0" i="0" u="none" strike="noStrike" kern="0" cap="none" spc="0" normalizeH="0" baseline="0" noProof="0">
            <a:ln>
              <a:noFill/>
            </a:ln>
            <a:solidFill>
              <a:srgbClr val="000000"/>
            </a:solidFill>
            <a:effectLst/>
            <a:uLnTx/>
            <a:uFillTx/>
            <a:latin typeface="Aptos Narrow" panose="02110004020202020204"/>
          </a:endParaRPr>
        </a:p>
      </xdr:txBody>
    </xdr:sp>
    <xdr:clientData/>
  </xdr:twoCellAnchor>
  <xdr:twoCellAnchor>
    <xdr:from>
      <xdr:col>1</xdr:col>
      <xdr:colOff>593725</xdr:colOff>
      <xdr:row>218</xdr:row>
      <xdr:rowOff>34925</xdr:rowOff>
    </xdr:from>
    <xdr:to>
      <xdr:col>3</xdr:col>
      <xdr:colOff>841375</xdr:colOff>
      <xdr:row>218</xdr:row>
      <xdr:rowOff>98425</xdr:rowOff>
    </xdr:to>
    <xdr:sp macro="" textlink="">
      <xdr:nvSpPr>
        <xdr:cNvPr id="18" name="Pano2D_Rail4">
          <a:extLst>
            <a:ext uri="{FF2B5EF4-FFF2-40B4-BE49-F238E27FC236}">
              <a16:creationId xmlns:a16="http://schemas.microsoft.com/office/drawing/2014/main" id="{542BBCF6-CF36-4051-B38A-7CD2E627B5EB}"/>
            </a:ext>
          </a:extLst>
        </xdr:cNvPr>
        <xdr:cNvSpPr/>
      </xdr:nvSpPr>
      <xdr:spPr>
        <a:xfrm>
          <a:off x="1155700" y="80206850"/>
          <a:ext cx="3048000" cy="63500"/>
        </a:xfrm>
        <a:prstGeom prst="rect">
          <a:avLst/>
        </a:prstGeom>
        <a:solidFill>
          <a:srgbClr val="808080"/>
        </a:solidFill>
        <a:ln w="12700" cap="flat" cmpd="sng" algn="ctr">
          <a:solidFill>
            <a:srgbClr val="595959"/>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0" lang="tr-TR" sz="800" b="0" i="0" u="none" strike="noStrike" kern="0" cap="none" spc="0" normalizeH="0" baseline="0" noProof="0">
            <a:ln>
              <a:noFill/>
            </a:ln>
            <a:solidFill>
              <a:srgbClr val="000000"/>
            </a:solidFill>
            <a:effectLst/>
            <a:uLnTx/>
            <a:uFillTx/>
            <a:latin typeface="Aptos Narrow" panose="02110004020202020204"/>
          </a:endParaRPr>
        </a:p>
      </xdr:txBody>
    </xdr:sp>
    <xdr:clientData/>
  </xdr:twoCellAnchor>
  <xdr:twoCellAnchor>
    <xdr:from>
      <xdr:col>1</xdr:col>
      <xdr:colOff>593725</xdr:colOff>
      <xdr:row>222</xdr:row>
      <xdr:rowOff>136525</xdr:rowOff>
    </xdr:from>
    <xdr:to>
      <xdr:col>3</xdr:col>
      <xdr:colOff>841375</xdr:colOff>
      <xdr:row>223</xdr:row>
      <xdr:rowOff>38100</xdr:rowOff>
    </xdr:to>
    <xdr:sp macro="" textlink="">
      <xdr:nvSpPr>
        <xdr:cNvPr id="19" name="Pano2D_Rail5">
          <a:extLst>
            <a:ext uri="{FF2B5EF4-FFF2-40B4-BE49-F238E27FC236}">
              <a16:creationId xmlns:a16="http://schemas.microsoft.com/office/drawing/2014/main" id="{F4CC5422-9F71-4BB4-B618-83E5FDCCA86B}"/>
            </a:ext>
          </a:extLst>
        </xdr:cNvPr>
        <xdr:cNvSpPr/>
      </xdr:nvSpPr>
      <xdr:spPr>
        <a:xfrm>
          <a:off x="1155700" y="81070450"/>
          <a:ext cx="3048000" cy="92075"/>
        </a:xfrm>
        <a:prstGeom prst="rect">
          <a:avLst/>
        </a:prstGeom>
        <a:solidFill>
          <a:srgbClr val="808080"/>
        </a:solidFill>
        <a:ln w="12700" cap="flat" cmpd="sng" algn="ctr">
          <a:solidFill>
            <a:srgbClr val="595959"/>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0" lang="tr-TR" sz="800" b="0" i="0" u="none" strike="noStrike" kern="0" cap="none" spc="0" normalizeH="0" baseline="0" noProof="0">
            <a:ln>
              <a:noFill/>
            </a:ln>
            <a:solidFill>
              <a:srgbClr val="000000"/>
            </a:solidFill>
            <a:effectLst/>
            <a:uLnTx/>
            <a:uFillTx/>
            <a:latin typeface="Aptos Narrow" panose="02110004020202020204"/>
          </a:endParaRPr>
        </a:p>
      </xdr:txBody>
    </xdr:sp>
    <xdr:clientData/>
  </xdr:twoCellAnchor>
  <xdr:twoCellAnchor>
    <xdr:from>
      <xdr:col>1</xdr:col>
      <xdr:colOff>593725</xdr:colOff>
      <xdr:row>226</xdr:row>
      <xdr:rowOff>85725</xdr:rowOff>
    </xdr:from>
    <xdr:to>
      <xdr:col>3</xdr:col>
      <xdr:colOff>841375</xdr:colOff>
      <xdr:row>226</xdr:row>
      <xdr:rowOff>149225</xdr:rowOff>
    </xdr:to>
    <xdr:sp macro="" textlink="">
      <xdr:nvSpPr>
        <xdr:cNvPr id="20" name="Pano2D_Rail6">
          <a:extLst>
            <a:ext uri="{FF2B5EF4-FFF2-40B4-BE49-F238E27FC236}">
              <a16:creationId xmlns:a16="http://schemas.microsoft.com/office/drawing/2014/main" id="{25317D9B-55F2-4C39-946B-C3B509A84F58}"/>
            </a:ext>
          </a:extLst>
        </xdr:cNvPr>
        <xdr:cNvSpPr/>
      </xdr:nvSpPr>
      <xdr:spPr>
        <a:xfrm>
          <a:off x="1155700" y="81781650"/>
          <a:ext cx="3048000" cy="63500"/>
        </a:xfrm>
        <a:prstGeom prst="rect">
          <a:avLst/>
        </a:prstGeom>
        <a:solidFill>
          <a:srgbClr val="808080"/>
        </a:solidFill>
        <a:ln w="12700" cap="flat" cmpd="sng" algn="ctr">
          <a:solidFill>
            <a:srgbClr val="595959"/>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0" lang="tr-TR" sz="800" b="0" i="0" u="none" strike="noStrike" kern="0" cap="none" spc="0" normalizeH="0" baseline="0" noProof="0">
            <a:ln>
              <a:noFill/>
            </a:ln>
            <a:solidFill>
              <a:srgbClr val="000000"/>
            </a:solidFill>
            <a:effectLst/>
            <a:uLnTx/>
            <a:uFillTx/>
            <a:latin typeface="Aptos Narrow" panose="02110004020202020204"/>
          </a:endParaRPr>
        </a:p>
      </xdr:txBody>
    </xdr:sp>
    <xdr:clientData/>
  </xdr:twoCellAnchor>
  <xdr:twoCellAnchor>
    <xdr:from>
      <xdr:col>1</xdr:col>
      <xdr:colOff>593725</xdr:colOff>
      <xdr:row>231</xdr:row>
      <xdr:rowOff>12700</xdr:rowOff>
    </xdr:from>
    <xdr:to>
      <xdr:col>3</xdr:col>
      <xdr:colOff>841375</xdr:colOff>
      <xdr:row>231</xdr:row>
      <xdr:rowOff>76200</xdr:rowOff>
    </xdr:to>
    <xdr:sp macro="" textlink="">
      <xdr:nvSpPr>
        <xdr:cNvPr id="21" name="Pano2D_Rail7">
          <a:extLst>
            <a:ext uri="{FF2B5EF4-FFF2-40B4-BE49-F238E27FC236}">
              <a16:creationId xmlns:a16="http://schemas.microsoft.com/office/drawing/2014/main" id="{A96B0E09-92F5-4B4F-B000-1E7857863460}"/>
            </a:ext>
          </a:extLst>
        </xdr:cNvPr>
        <xdr:cNvSpPr/>
      </xdr:nvSpPr>
      <xdr:spPr>
        <a:xfrm>
          <a:off x="1155700" y="82661125"/>
          <a:ext cx="3048000" cy="63500"/>
        </a:xfrm>
        <a:prstGeom prst="rect">
          <a:avLst/>
        </a:prstGeom>
        <a:solidFill>
          <a:srgbClr val="808080"/>
        </a:solidFill>
        <a:ln w="12700" cap="flat" cmpd="sng" algn="ctr">
          <a:solidFill>
            <a:srgbClr val="595959"/>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0" lang="tr-TR" sz="800" b="0" i="0" u="none" strike="noStrike" kern="0" cap="none" spc="0" normalizeH="0" baseline="0" noProof="0">
            <a:ln>
              <a:noFill/>
            </a:ln>
            <a:solidFill>
              <a:srgbClr val="000000"/>
            </a:solidFill>
            <a:effectLst/>
            <a:uLnTx/>
            <a:uFillTx/>
            <a:latin typeface="Aptos Narrow" panose="02110004020202020204"/>
          </a:endParaRPr>
        </a:p>
      </xdr:txBody>
    </xdr:sp>
    <xdr:clientData/>
  </xdr:twoCellAnchor>
  <xdr:twoCellAnchor>
    <xdr:from>
      <xdr:col>1</xdr:col>
      <xdr:colOff>657225</xdr:colOff>
      <xdr:row>200</xdr:row>
      <xdr:rowOff>53975</xdr:rowOff>
    </xdr:from>
    <xdr:to>
      <xdr:col>1</xdr:col>
      <xdr:colOff>1330325</xdr:colOff>
      <xdr:row>203</xdr:row>
      <xdr:rowOff>88900</xdr:rowOff>
    </xdr:to>
    <xdr:sp macro="" textlink="">
      <xdr:nvSpPr>
        <xdr:cNvPr id="22" name="Pano2D_MainDisc">
          <a:extLst>
            <a:ext uri="{FF2B5EF4-FFF2-40B4-BE49-F238E27FC236}">
              <a16:creationId xmlns:a16="http://schemas.microsoft.com/office/drawing/2014/main" id="{F759C5DB-B32F-4C01-9D94-8F9992ECB5C4}"/>
            </a:ext>
          </a:extLst>
        </xdr:cNvPr>
        <xdr:cNvSpPr/>
      </xdr:nvSpPr>
      <xdr:spPr>
        <a:xfrm>
          <a:off x="1219200" y="76796900"/>
          <a:ext cx="673100" cy="606425"/>
        </a:xfrm>
        <a:prstGeom prst="rect">
          <a:avLst/>
        </a:prstGeom>
        <a:solidFill>
          <a:srgbClr val="F4B183"/>
        </a:solidFill>
        <a:ln w="12700" cap="flat" cmpd="sng" algn="ctr">
          <a:solidFill>
            <a:srgbClr val="C65911"/>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0" lang="tr-TR" sz="700" b="1" i="0" u="none" strike="noStrike" kern="0" cap="none" spc="0" normalizeH="0" baseline="0" noProof="0">
              <a:ln>
                <a:noFill/>
              </a:ln>
              <a:solidFill>
                <a:srgbClr val="7F2704"/>
              </a:solidFill>
              <a:effectLst/>
              <a:uLnTx/>
              <a:uFillTx/>
              <a:latin typeface="Aptos Narrow" panose="02110004020202020204"/>
            </a:rPr>
            <a:t>QS1
9422TCN30
ANA AYIRICI</a:t>
          </a:r>
        </a:p>
      </xdr:txBody>
    </xdr:sp>
    <xdr:clientData/>
  </xdr:twoCellAnchor>
  <xdr:twoCellAnchor>
    <xdr:from>
      <xdr:col>1</xdr:col>
      <xdr:colOff>1406525</xdr:colOff>
      <xdr:row>199</xdr:row>
      <xdr:rowOff>152400</xdr:rowOff>
    </xdr:from>
    <xdr:to>
      <xdr:col>2</xdr:col>
      <xdr:colOff>463550</xdr:colOff>
      <xdr:row>203</xdr:row>
      <xdr:rowOff>101600</xdr:rowOff>
    </xdr:to>
    <xdr:sp macro="" textlink="">
      <xdr:nvSpPr>
        <xdr:cNvPr id="23" name="Pano2D_MainCB">
          <a:extLst>
            <a:ext uri="{FF2B5EF4-FFF2-40B4-BE49-F238E27FC236}">
              <a16:creationId xmlns:a16="http://schemas.microsoft.com/office/drawing/2014/main" id="{AC8A9F9D-9929-4B43-9938-A07B469F5EC9}"/>
            </a:ext>
          </a:extLst>
        </xdr:cNvPr>
        <xdr:cNvSpPr/>
      </xdr:nvSpPr>
      <xdr:spPr>
        <a:xfrm>
          <a:off x="1968500" y="76704825"/>
          <a:ext cx="838200" cy="711200"/>
        </a:xfrm>
        <a:prstGeom prst="rect">
          <a:avLst/>
        </a:prstGeom>
        <a:solidFill>
          <a:srgbClr val="FFD966"/>
        </a:solidFill>
        <a:ln w="12700" cap="flat" cmpd="sng" algn="ctr">
          <a:solidFill>
            <a:srgbClr val="BF9000"/>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0" lang="tr-TR" sz="700" b="1" i="0" u="none" strike="noStrike" kern="0" cap="none" spc="0" normalizeH="0" baseline="0" noProof="0">
              <a:ln>
                <a:noFill/>
              </a:ln>
              <a:solidFill>
                <a:srgbClr val="7F6000"/>
              </a:solidFill>
              <a:effectLst/>
              <a:uLnTx/>
              <a:uFillTx/>
              <a:latin typeface="Aptos Narrow" panose="02110004020202020204"/>
            </a:rPr>
            <a:t>QF1
HGL36025
25A ANA</a:t>
          </a:r>
        </a:p>
      </xdr:txBody>
    </xdr:sp>
    <xdr:clientData/>
  </xdr:twoCellAnchor>
  <xdr:twoCellAnchor>
    <xdr:from>
      <xdr:col>2</xdr:col>
      <xdr:colOff>552450</xdr:colOff>
      <xdr:row>199</xdr:row>
      <xdr:rowOff>152400</xdr:rowOff>
    </xdr:from>
    <xdr:to>
      <xdr:col>3</xdr:col>
      <xdr:colOff>371475</xdr:colOff>
      <xdr:row>203</xdr:row>
      <xdr:rowOff>101600</xdr:rowOff>
    </xdr:to>
    <xdr:sp macro="" textlink="">
      <xdr:nvSpPr>
        <xdr:cNvPr id="24" name="Pano2D_HeatCB">
          <a:extLst>
            <a:ext uri="{FF2B5EF4-FFF2-40B4-BE49-F238E27FC236}">
              <a16:creationId xmlns:a16="http://schemas.microsoft.com/office/drawing/2014/main" id="{6D98256F-2C5A-421E-98C4-CCD732B1E7BD}"/>
            </a:ext>
          </a:extLst>
        </xdr:cNvPr>
        <xdr:cNvSpPr/>
      </xdr:nvSpPr>
      <xdr:spPr>
        <a:xfrm>
          <a:off x="2895600" y="76704825"/>
          <a:ext cx="838200" cy="711200"/>
        </a:xfrm>
        <a:prstGeom prst="rect">
          <a:avLst/>
        </a:prstGeom>
        <a:solidFill>
          <a:srgbClr val="FFD966"/>
        </a:solidFill>
        <a:ln w="12700" cap="flat" cmpd="sng" algn="ctr">
          <a:solidFill>
            <a:srgbClr val="BF9000"/>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0" lang="tr-TR" sz="700" b="1" i="0" u="none" strike="noStrike" kern="0" cap="none" spc="0" normalizeH="0" baseline="0" noProof="0">
              <a:ln>
                <a:noFill/>
              </a:ln>
              <a:solidFill>
                <a:srgbClr val="7F6000"/>
              </a:solidFill>
              <a:effectLst/>
              <a:uLnTx/>
              <a:uFillTx/>
              <a:latin typeface="Aptos Narrow" panose="02110004020202020204"/>
            </a:rPr>
            <a:t>QF2
HGL36015
15A ISITICI</a:t>
          </a:r>
        </a:p>
      </xdr:txBody>
    </xdr:sp>
    <xdr:clientData/>
  </xdr:twoCellAnchor>
  <xdr:twoCellAnchor>
    <xdr:from>
      <xdr:col>3</xdr:col>
      <xdr:colOff>447675</xdr:colOff>
      <xdr:row>200</xdr:row>
      <xdr:rowOff>117475</xdr:rowOff>
    </xdr:from>
    <xdr:to>
      <xdr:col>3</xdr:col>
      <xdr:colOff>803275</xdr:colOff>
      <xdr:row>203</xdr:row>
      <xdr:rowOff>76200</xdr:rowOff>
    </xdr:to>
    <xdr:sp macro="" textlink="">
      <xdr:nvSpPr>
        <xdr:cNvPr id="25" name="Pano2D_Fuse">
          <a:extLst>
            <a:ext uri="{FF2B5EF4-FFF2-40B4-BE49-F238E27FC236}">
              <a16:creationId xmlns:a16="http://schemas.microsoft.com/office/drawing/2014/main" id="{86AE01FD-FFEC-4DF4-93E4-7FAEB3CDF857}"/>
            </a:ext>
          </a:extLst>
        </xdr:cNvPr>
        <xdr:cNvSpPr/>
      </xdr:nvSpPr>
      <xdr:spPr>
        <a:xfrm>
          <a:off x="3810000" y="76860400"/>
          <a:ext cx="355600" cy="530225"/>
        </a:xfrm>
        <a:prstGeom prst="rect">
          <a:avLst/>
        </a:prstGeom>
        <a:solidFill>
          <a:srgbClr val="FFF2CC"/>
        </a:solidFill>
        <a:ln w="12700" cap="flat" cmpd="sng" algn="ctr">
          <a:solidFill>
            <a:srgbClr val="BF9000"/>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0" lang="tr-TR" sz="700" b="1" i="0" u="none" strike="noStrike" kern="0" cap="none" spc="0" normalizeH="0" baseline="0" noProof="0">
              <a:ln>
                <a:noFill/>
              </a:ln>
              <a:solidFill>
                <a:srgbClr val="7F6000"/>
              </a:solidFill>
              <a:effectLst/>
              <a:uLnTx/>
              <a:uFillTx/>
              <a:latin typeface="Aptos Narrow" panose="02110004020202020204"/>
            </a:rPr>
            <a:t>FU1
2A CC</a:t>
          </a:r>
        </a:p>
      </xdr:txBody>
    </xdr:sp>
    <xdr:clientData/>
  </xdr:twoCellAnchor>
  <xdr:twoCellAnchor>
    <xdr:from>
      <xdr:col>1</xdr:col>
      <xdr:colOff>657225</xdr:colOff>
      <xdr:row>205</xdr:row>
      <xdr:rowOff>44450</xdr:rowOff>
    </xdr:from>
    <xdr:to>
      <xdr:col>1</xdr:col>
      <xdr:colOff>1190625</xdr:colOff>
      <xdr:row>209</xdr:row>
      <xdr:rowOff>57150</xdr:rowOff>
    </xdr:to>
    <xdr:sp macro="" textlink="">
      <xdr:nvSpPr>
        <xdr:cNvPr id="26" name="Pano2D_PumpMPCB">
          <a:extLst>
            <a:ext uri="{FF2B5EF4-FFF2-40B4-BE49-F238E27FC236}">
              <a16:creationId xmlns:a16="http://schemas.microsoft.com/office/drawing/2014/main" id="{61F1EC1A-D044-4CC3-8949-75BD1BD89A5F}"/>
            </a:ext>
          </a:extLst>
        </xdr:cNvPr>
        <xdr:cNvSpPr/>
      </xdr:nvSpPr>
      <xdr:spPr>
        <a:xfrm>
          <a:off x="1219200" y="77739875"/>
          <a:ext cx="533400" cy="774700"/>
        </a:xfrm>
        <a:prstGeom prst="rect">
          <a:avLst/>
        </a:prstGeom>
        <a:solidFill>
          <a:srgbClr val="BDD7EE"/>
        </a:solidFill>
        <a:ln w="12700" cap="flat" cmpd="sng" algn="ctr">
          <a:solidFill>
            <a:srgbClr val="2F75B5"/>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0" lang="tr-TR" sz="700" b="1" i="0" u="none" strike="noStrike" kern="0" cap="none" spc="0" normalizeH="0" baseline="0" noProof="0">
              <a:ln>
                <a:noFill/>
              </a:ln>
              <a:solidFill>
                <a:srgbClr val="17365D"/>
              </a:solidFill>
              <a:effectLst/>
              <a:uLnTx/>
              <a:uFillTx/>
              <a:latin typeface="Aptos Narrow" panose="02110004020202020204"/>
            </a:rPr>
            <a:t>QMP
GV2P14</a:t>
          </a:r>
        </a:p>
      </xdr:txBody>
    </xdr:sp>
    <xdr:clientData/>
  </xdr:twoCellAnchor>
  <xdr:twoCellAnchor>
    <xdr:from>
      <xdr:col>1</xdr:col>
      <xdr:colOff>1203325</xdr:colOff>
      <xdr:row>205</xdr:row>
      <xdr:rowOff>44450</xdr:rowOff>
    </xdr:from>
    <xdr:to>
      <xdr:col>1</xdr:col>
      <xdr:colOff>1736725</xdr:colOff>
      <xdr:row>209</xdr:row>
      <xdr:rowOff>57150</xdr:rowOff>
    </xdr:to>
    <xdr:sp macro="" textlink="">
      <xdr:nvSpPr>
        <xdr:cNvPr id="27" name="Pano2D_PumpCont">
          <a:extLst>
            <a:ext uri="{FF2B5EF4-FFF2-40B4-BE49-F238E27FC236}">
              <a16:creationId xmlns:a16="http://schemas.microsoft.com/office/drawing/2014/main" id="{F046806E-9244-4B47-97BC-289E48F78C0E}"/>
            </a:ext>
          </a:extLst>
        </xdr:cNvPr>
        <xdr:cNvSpPr/>
      </xdr:nvSpPr>
      <xdr:spPr>
        <a:xfrm>
          <a:off x="1765300" y="77739875"/>
          <a:ext cx="533400" cy="774700"/>
        </a:xfrm>
        <a:prstGeom prst="rect">
          <a:avLst/>
        </a:prstGeom>
        <a:solidFill>
          <a:srgbClr val="9DC3E6"/>
        </a:solidFill>
        <a:ln w="12700" cap="flat" cmpd="sng" algn="ctr">
          <a:solidFill>
            <a:srgbClr val="2F75B5"/>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0" lang="tr-TR" sz="700" b="1" i="0" u="none" strike="noStrike" kern="0" cap="none" spc="0" normalizeH="0" baseline="0" noProof="0">
              <a:ln>
                <a:noFill/>
              </a:ln>
              <a:solidFill>
                <a:srgbClr val="17365D"/>
              </a:solidFill>
              <a:effectLst/>
              <a:uLnTx/>
              <a:uFillTx/>
              <a:latin typeface="Aptos Narrow" panose="02110004020202020204"/>
            </a:rPr>
            <a:t>KP
LC1D09</a:t>
          </a:r>
        </a:p>
      </xdr:txBody>
    </xdr:sp>
    <xdr:clientData/>
  </xdr:twoCellAnchor>
  <xdr:twoCellAnchor>
    <xdr:from>
      <xdr:col>2</xdr:col>
      <xdr:colOff>69850</xdr:colOff>
      <xdr:row>205</xdr:row>
      <xdr:rowOff>95250</xdr:rowOff>
    </xdr:from>
    <xdr:to>
      <xdr:col>2</xdr:col>
      <xdr:colOff>514350</xdr:colOff>
      <xdr:row>209</xdr:row>
      <xdr:rowOff>57150</xdr:rowOff>
    </xdr:to>
    <xdr:sp macro="" textlink="">
      <xdr:nvSpPr>
        <xdr:cNvPr id="28" name="Pano2D_OilMPCB">
          <a:extLst>
            <a:ext uri="{FF2B5EF4-FFF2-40B4-BE49-F238E27FC236}">
              <a16:creationId xmlns:a16="http://schemas.microsoft.com/office/drawing/2014/main" id="{F8E63394-D65E-425A-8F31-1C188F66FC1B}"/>
            </a:ext>
          </a:extLst>
        </xdr:cNvPr>
        <xdr:cNvSpPr/>
      </xdr:nvSpPr>
      <xdr:spPr>
        <a:xfrm>
          <a:off x="2413000" y="77790675"/>
          <a:ext cx="444500" cy="723900"/>
        </a:xfrm>
        <a:prstGeom prst="rect">
          <a:avLst/>
        </a:prstGeom>
        <a:solidFill>
          <a:srgbClr val="BDD7EE"/>
        </a:solidFill>
        <a:ln w="12700" cap="flat" cmpd="sng" algn="ctr">
          <a:solidFill>
            <a:srgbClr val="2F75B5"/>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0" lang="tr-TR" sz="600" b="1" i="0" u="none" strike="noStrike" kern="0" cap="none" spc="0" normalizeH="0" baseline="0" noProof="0">
              <a:ln>
                <a:noFill/>
              </a:ln>
              <a:solidFill>
                <a:srgbClr val="17365D"/>
              </a:solidFill>
              <a:effectLst/>
              <a:uLnTx/>
              <a:uFillTx/>
              <a:latin typeface="Aptos Narrow" panose="02110004020202020204"/>
            </a:rPr>
            <a:t>QMO
GV2P02</a:t>
          </a:r>
        </a:p>
      </xdr:txBody>
    </xdr:sp>
    <xdr:clientData/>
  </xdr:twoCellAnchor>
  <xdr:twoCellAnchor>
    <xdr:from>
      <xdr:col>2</xdr:col>
      <xdr:colOff>527050</xdr:colOff>
      <xdr:row>205</xdr:row>
      <xdr:rowOff>95250</xdr:rowOff>
    </xdr:from>
    <xdr:to>
      <xdr:col>2</xdr:col>
      <xdr:colOff>971550</xdr:colOff>
      <xdr:row>209</xdr:row>
      <xdr:rowOff>57150</xdr:rowOff>
    </xdr:to>
    <xdr:sp macro="" textlink="">
      <xdr:nvSpPr>
        <xdr:cNvPr id="29" name="Pano2D_OilCont">
          <a:extLst>
            <a:ext uri="{FF2B5EF4-FFF2-40B4-BE49-F238E27FC236}">
              <a16:creationId xmlns:a16="http://schemas.microsoft.com/office/drawing/2014/main" id="{31CF6BE7-1765-40B8-9D94-95A194B44E5E}"/>
            </a:ext>
          </a:extLst>
        </xdr:cNvPr>
        <xdr:cNvSpPr/>
      </xdr:nvSpPr>
      <xdr:spPr>
        <a:xfrm>
          <a:off x="2870200" y="77790675"/>
          <a:ext cx="444500" cy="723900"/>
        </a:xfrm>
        <a:prstGeom prst="rect">
          <a:avLst/>
        </a:prstGeom>
        <a:solidFill>
          <a:srgbClr val="9DC3E6"/>
        </a:solidFill>
        <a:ln w="12700" cap="flat" cmpd="sng" algn="ctr">
          <a:solidFill>
            <a:srgbClr val="2F75B5"/>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0" lang="tr-TR" sz="600" b="1" i="0" u="none" strike="noStrike" kern="0" cap="none" spc="0" normalizeH="0" baseline="0" noProof="0">
              <a:ln>
                <a:noFill/>
              </a:ln>
              <a:solidFill>
                <a:srgbClr val="17365D"/>
              </a:solidFill>
              <a:effectLst/>
              <a:uLnTx/>
              <a:uFillTx/>
              <a:latin typeface="Aptos Narrow" panose="02110004020202020204"/>
            </a:rPr>
            <a:t>KO
LC1D09</a:t>
          </a:r>
        </a:p>
      </xdr:txBody>
    </xdr:sp>
    <xdr:clientData/>
  </xdr:twoCellAnchor>
  <xdr:twoCellAnchor>
    <xdr:from>
      <xdr:col>3</xdr:col>
      <xdr:colOff>66675</xdr:colOff>
      <xdr:row>205</xdr:row>
      <xdr:rowOff>95250</xdr:rowOff>
    </xdr:from>
    <xdr:to>
      <xdr:col>3</xdr:col>
      <xdr:colOff>511175</xdr:colOff>
      <xdr:row>209</xdr:row>
      <xdr:rowOff>57150</xdr:rowOff>
    </xdr:to>
    <xdr:sp macro="" textlink="">
      <xdr:nvSpPr>
        <xdr:cNvPr id="30" name="Pano2D_BasketMPCB">
          <a:extLst>
            <a:ext uri="{FF2B5EF4-FFF2-40B4-BE49-F238E27FC236}">
              <a16:creationId xmlns:a16="http://schemas.microsoft.com/office/drawing/2014/main" id="{9553F61E-3805-4986-BCC4-B17D5C6E92CA}"/>
            </a:ext>
          </a:extLst>
        </xdr:cNvPr>
        <xdr:cNvSpPr/>
      </xdr:nvSpPr>
      <xdr:spPr>
        <a:xfrm>
          <a:off x="3429000" y="77790675"/>
          <a:ext cx="444500" cy="723900"/>
        </a:xfrm>
        <a:prstGeom prst="rect">
          <a:avLst/>
        </a:prstGeom>
        <a:solidFill>
          <a:srgbClr val="BDD7EE"/>
        </a:solidFill>
        <a:ln w="12700" cap="flat" cmpd="sng" algn="ctr">
          <a:solidFill>
            <a:srgbClr val="2F75B5"/>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0" lang="tr-TR" sz="600" b="1" i="0" u="none" strike="noStrike" kern="0" cap="none" spc="0" normalizeH="0" baseline="0" noProof="0">
              <a:ln>
                <a:noFill/>
              </a:ln>
              <a:solidFill>
                <a:srgbClr val="17365D"/>
              </a:solidFill>
              <a:effectLst/>
              <a:uLnTx/>
              <a:uFillTx/>
              <a:latin typeface="Aptos Narrow" panose="02110004020202020204"/>
            </a:rPr>
            <a:t>QMB
GV2P04</a:t>
          </a:r>
        </a:p>
      </xdr:txBody>
    </xdr:sp>
    <xdr:clientData/>
  </xdr:twoCellAnchor>
  <xdr:twoCellAnchor>
    <xdr:from>
      <xdr:col>3</xdr:col>
      <xdr:colOff>523875</xdr:colOff>
      <xdr:row>205</xdr:row>
      <xdr:rowOff>95250</xdr:rowOff>
    </xdr:from>
    <xdr:to>
      <xdr:col>3</xdr:col>
      <xdr:colOff>879475</xdr:colOff>
      <xdr:row>209</xdr:row>
      <xdr:rowOff>57150</xdr:rowOff>
    </xdr:to>
    <xdr:sp macro="" textlink="">
      <xdr:nvSpPr>
        <xdr:cNvPr id="31" name="Pano2D_BasketCont">
          <a:extLst>
            <a:ext uri="{FF2B5EF4-FFF2-40B4-BE49-F238E27FC236}">
              <a16:creationId xmlns:a16="http://schemas.microsoft.com/office/drawing/2014/main" id="{7AC32C14-D01B-4336-86BA-7076732A4B3C}"/>
            </a:ext>
          </a:extLst>
        </xdr:cNvPr>
        <xdr:cNvSpPr/>
      </xdr:nvSpPr>
      <xdr:spPr>
        <a:xfrm>
          <a:off x="3886200" y="77790675"/>
          <a:ext cx="355600" cy="723900"/>
        </a:xfrm>
        <a:prstGeom prst="rect">
          <a:avLst/>
        </a:prstGeom>
        <a:solidFill>
          <a:srgbClr val="9DC3E6"/>
        </a:solidFill>
        <a:ln w="12700" cap="flat" cmpd="sng" algn="ctr">
          <a:solidFill>
            <a:srgbClr val="2F75B5"/>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0" lang="tr-TR" sz="600" b="1" i="0" u="none" strike="noStrike" kern="0" cap="none" spc="0" normalizeH="0" baseline="0" noProof="0">
              <a:ln>
                <a:noFill/>
              </a:ln>
              <a:solidFill>
                <a:srgbClr val="17365D"/>
              </a:solidFill>
              <a:effectLst/>
              <a:uLnTx/>
              <a:uFillTx/>
              <a:latin typeface="Aptos Narrow" panose="02110004020202020204"/>
            </a:rPr>
            <a:t>KB
LC1D09</a:t>
          </a:r>
        </a:p>
      </xdr:txBody>
    </xdr:sp>
    <xdr:clientData/>
  </xdr:twoCellAnchor>
  <xdr:twoCellAnchor>
    <xdr:from>
      <xdr:col>1</xdr:col>
      <xdr:colOff>657225</xdr:colOff>
      <xdr:row>213</xdr:row>
      <xdr:rowOff>95250</xdr:rowOff>
    </xdr:from>
    <xdr:to>
      <xdr:col>1</xdr:col>
      <xdr:colOff>1203325</xdr:colOff>
      <xdr:row>217</xdr:row>
      <xdr:rowOff>95250</xdr:rowOff>
    </xdr:to>
    <xdr:sp macro="" textlink="">
      <xdr:nvSpPr>
        <xdr:cNvPr id="32" name="Pano2D_SafetyCont1">
          <a:extLst>
            <a:ext uri="{FF2B5EF4-FFF2-40B4-BE49-F238E27FC236}">
              <a16:creationId xmlns:a16="http://schemas.microsoft.com/office/drawing/2014/main" id="{03829002-B246-4AFA-9285-0F0545661A3A}"/>
            </a:ext>
          </a:extLst>
        </xdr:cNvPr>
        <xdr:cNvSpPr/>
      </xdr:nvSpPr>
      <xdr:spPr>
        <a:xfrm>
          <a:off x="1219200" y="79314675"/>
          <a:ext cx="546100" cy="762000"/>
        </a:xfrm>
        <a:prstGeom prst="rect">
          <a:avLst/>
        </a:prstGeom>
        <a:solidFill>
          <a:srgbClr val="F4CCCC"/>
        </a:solidFill>
        <a:ln w="12700" cap="flat" cmpd="sng" algn="ctr">
          <a:solidFill>
            <a:srgbClr val="C00000"/>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0" lang="tr-TR" sz="700" b="1" i="0" u="none" strike="noStrike" kern="0" cap="none" spc="0" normalizeH="0" baseline="0" noProof="0">
              <a:ln>
                <a:noFill/>
              </a:ln>
              <a:solidFill>
                <a:srgbClr val="9C0006"/>
              </a:solidFill>
              <a:effectLst/>
              <a:uLnTx/>
              <a:uFillTx/>
              <a:latin typeface="Aptos Narrow" panose="02110004020202020204"/>
            </a:rPr>
            <a:t>KSF1
LC1D25</a:t>
          </a:r>
        </a:p>
      </xdr:txBody>
    </xdr:sp>
    <xdr:clientData/>
  </xdr:twoCellAnchor>
  <xdr:twoCellAnchor>
    <xdr:from>
      <xdr:col>1</xdr:col>
      <xdr:colOff>1241425</xdr:colOff>
      <xdr:row>213</xdr:row>
      <xdr:rowOff>95250</xdr:rowOff>
    </xdr:from>
    <xdr:to>
      <xdr:col>2</xdr:col>
      <xdr:colOff>6350</xdr:colOff>
      <xdr:row>217</xdr:row>
      <xdr:rowOff>95250</xdr:rowOff>
    </xdr:to>
    <xdr:sp macro="" textlink="">
      <xdr:nvSpPr>
        <xdr:cNvPr id="33" name="Pano2D_SafetyCont2">
          <a:extLst>
            <a:ext uri="{FF2B5EF4-FFF2-40B4-BE49-F238E27FC236}">
              <a16:creationId xmlns:a16="http://schemas.microsoft.com/office/drawing/2014/main" id="{85952F46-AFAD-41DA-B145-A48D53BF5783}"/>
            </a:ext>
          </a:extLst>
        </xdr:cNvPr>
        <xdr:cNvSpPr/>
      </xdr:nvSpPr>
      <xdr:spPr>
        <a:xfrm>
          <a:off x="1803400" y="79314675"/>
          <a:ext cx="546100" cy="762000"/>
        </a:xfrm>
        <a:prstGeom prst="rect">
          <a:avLst/>
        </a:prstGeom>
        <a:solidFill>
          <a:srgbClr val="F4CCCC"/>
        </a:solidFill>
        <a:ln w="12700" cap="flat" cmpd="sng" algn="ctr">
          <a:solidFill>
            <a:srgbClr val="C00000"/>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0" lang="tr-TR" sz="700" b="1" i="0" u="none" strike="noStrike" kern="0" cap="none" spc="0" normalizeH="0" baseline="0" noProof="0">
              <a:ln>
                <a:noFill/>
              </a:ln>
              <a:solidFill>
                <a:srgbClr val="9C0006"/>
              </a:solidFill>
              <a:effectLst/>
              <a:uLnTx/>
              <a:uFillTx/>
              <a:latin typeface="Aptos Narrow" panose="02110004020202020204"/>
            </a:rPr>
            <a:t>KSF2
LC1D25</a:t>
          </a:r>
        </a:p>
      </xdr:txBody>
    </xdr:sp>
    <xdr:clientData/>
  </xdr:twoCellAnchor>
  <xdr:twoCellAnchor>
    <xdr:from>
      <xdr:col>2</xdr:col>
      <xdr:colOff>184150</xdr:colOff>
      <xdr:row>213</xdr:row>
      <xdr:rowOff>95250</xdr:rowOff>
    </xdr:from>
    <xdr:to>
      <xdr:col>2</xdr:col>
      <xdr:colOff>730250</xdr:colOff>
      <xdr:row>217</xdr:row>
      <xdr:rowOff>95250</xdr:rowOff>
    </xdr:to>
    <xdr:sp macro="" textlink="">
      <xdr:nvSpPr>
        <xdr:cNvPr id="34" name="Pano2D_HeatCont">
          <a:extLst>
            <a:ext uri="{FF2B5EF4-FFF2-40B4-BE49-F238E27FC236}">
              <a16:creationId xmlns:a16="http://schemas.microsoft.com/office/drawing/2014/main" id="{30CC0164-5C94-4A1F-AA8F-4779B2D699BE}"/>
            </a:ext>
          </a:extLst>
        </xdr:cNvPr>
        <xdr:cNvSpPr/>
      </xdr:nvSpPr>
      <xdr:spPr>
        <a:xfrm>
          <a:off x="2527300" y="79314675"/>
          <a:ext cx="546100" cy="762000"/>
        </a:xfrm>
        <a:prstGeom prst="rect">
          <a:avLst/>
        </a:prstGeom>
        <a:solidFill>
          <a:srgbClr val="FCE4D6"/>
        </a:solidFill>
        <a:ln w="12700" cap="flat" cmpd="sng" algn="ctr">
          <a:solidFill>
            <a:srgbClr val="C65911"/>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0" lang="tr-TR" sz="700" b="1" i="0" u="none" strike="noStrike" kern="0" cap="none" spc="0" normalizeH="0" baseline="0" noProof="0">
              <a:ln>
                <a:noFill/>
              </a:ln>
              <a:solidFill>
                <a:srgbClr val="7F2704"/>
              </a:solidFill>
              <a:effectLst/>
              <a:uLnTx/>
              <a:uFillTx/>
              <a:latin typeface="Aptos Narrow" panose="02110004020202020204"/>
            </a:rPr>
            <a:t>KH
LC1D18</a:t>
          </a:r>
        </a:p>
      </xdr:txBody>
    </xdr:sp>
    <xdr:clientData/>
  </xdr:twoCellAnchor>
  <xdr:twoCellAnchor>
    <xdr:from>
      <xdr:col>2</xdr:col>
      <xdr:colOff>933450</xdr:colOff>
      <xdr:row>213</xdr:row>
      <xdr:rowOff>57150</xdr:rowOff>
    </xdr:from>
    <xdr:to>
      <xdr:col>3</xdr:col>
      <xdr:colOff>269875</xdr:colOff>
      <xdr:row>217</xdr:row>
      <xdr:rowOff>120650</xdr:rowOff>
    </xdr:to>
    <xdr:sp macro="" textlink="">
      <xdr:nvSpPr>
        <xdr:cNvPr id="35" name="Pano2D_SafetyRelay">
          <a:extLst>
            <a:ext uri="{FF2B5EF4-FFF2-40B4-BE49-F238E27FC236}">
              <a16:creationId xmlns:a16="http://schemas.microsoft.com/office/drawing/2014/main" id="{06223A20-6B58-4A55-949B-79B2E793F5A8}"/>
            </a:ext>
          </a:extLst>
        </xdr:cNvPr>
        <xdr:cNvSpPr/>
      </xdr:nvSpPr>
      <xdr:spPr>
        <a:xfrm>
          <a:off x="3276600" y="79276575"/>
          <a:ext cx="355600" cy="825500"/>
        </a:xfrm>
        <a:prstGeom prst="rect">
          <a:avLst/>
        </a:prstGeom>
        <a:solidFill>
          <a:srgbClr val="F4CCCC"/>
        </a:solidFill>
        <a:ln w="12700" cap="flat" cmpd="sng" algn="ctr">
          <a:solidFill>
            <a:srgbClr val="C00000"/>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0" lang="tr-TR" sz="700" b="1" i="0" u="none" strike="noStrike" kern="0" cap="none" spc="0" normalizeH="0" baseline="0" noProof="0">
              <a:ln>
                <a:noFill/>
              </a:ln>
              <a:solidFill>
                <a:srgbClr val="9C0006"/>
              </a:solidFill>
              <a:effectLst/>
              <a:uLnTx/>
              <a:uFillTx/>
              <a:latin typeface="Aptos Narrow" panose="02110004020202020204"/>
            </a:rPr>
            <a:t>SR1
XPS
UAF</a:t>
          </a:r>
        </a:p>
      </xdr:txBody>
    </xdr:sp>
    <xdr:clientData/>
  </xdr:twoCellAnchor>
  <xdr:twoCellAnchor>
    <xdr:from>
      <xdr:col>3</xdr:col>
      <xdr:colOff>346075</xdr:colOff>
      <xdr:row>214</xdr:row>
      <xdr:rowOff>9525</xdr:rowOff>
    </xdr:from>
    <xdr:to>
      <xdr:col>3</xdr:col>
      <xdr:colOff>841375</xdr:colOff>
      <xdr:row>217</xdr:row>
      <xdr:rowOff>69850</xdr:rowOff>
    </xdr:to>
    <xdr:sp macro="" textlink="">
      <xdr:nvSpPr>
        <xdr:cNvPr id="36" name="Pano2D_Interface">
          <a:extLst>
            <a:ext uri="{FF2B5EF4-FFF2-40B4-BE49-F238E27FC236}">
              <a16:creationId xmlns:a16="http://schemas.microsoft.com/office/drawing/2014/main" id="{A780871B-220F-4BD5-B0B9-51D7BDCB4EE6}"/>
            </a:ext>
          </a:extLst>
        </xdr:cNvPr>
        <xdr:cNvSpPr/>
      </xdr:nvSpPr>
      <xdr:spPr>
        <a:xfrm>
          <a:off x="3708400" y="79419450"/>
          <a:ext cx="495300" cy="631825"/>
        </a:xfrm>
        <a:prstGeom prst="rect">
          <a:avLst/>
        </a:prstGeom>
        <a:solidFill>
          <a:srgbClr val="E4DFEC"/>
        </a:solidFill>
        <a:ln w="12700" cap="flat" cmpd="sng" algn="ctr">
          <a:solidFill>
            <a:srgbClr val="7030A0"/>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0" lang="tr-TR" sz="700" b="1" i="0" u="none" strike="noStrike" kern="0" cap="none" spc="0" normalizeH="0" baseline="0" noProof="0">
              <a:ln>
                <a:noFill/>
              </a:ln>
              <a:solidFill>
                <a:srgbClr val="4C1B6F"/>
              </a:solidFill>
              <a:effectLst/>
              <a:uLnTx/>
              <a:uFillTx/>
              <a:latin typeface="Aptos Narrow" panose="02110004020202020204"/>
            </a:rPr>
            <a:t>K1
RSB24V</a:t>
          </a:r>
        </a:p>
      </xdr:txBody>
    </xdr:sp>
    <xdr:clientData/>
  </xdr:twoCellAnchor>
  <xdr:twoCellAnchor>
    <xdr:from>
      <xdr:col>1</xdr:col>
      <xdr:colOff>657225</xdr:colOff>
      <xdr:row>221</xdr:row>
      <xdr:rowOff>133350</xdr:rowOff>
    </xdr:from>
    <xdr:to>
      <xdr:col>1</xdr:col>
      <xdr:colOff>1139825</xdr:colOff>
      <xdr:row>225</xdr:row>
      <xdr:rowOff>158750</xdr:rowOff>
    </xdr:to>
    <xdr:sp macro="" textlink="">
      <xdr:nvSpPr>
        <xdr:cNvPr id="37" name="Pano2D_PSU">
          <a:extLst>
            <a:ext uri="{FF2B5EF4-FFF2-40B4-BE49-F238E27FC236}">
              <a16:creationId xmlns:a16="http://schemas.microsoft.com/office/drawing/2014/main" id="{52911048-021B-4147-AC16-1C04AEAF6CDE}"/>
            </a:ext>
          </a:extLst>
        </xdr:cNvPr>
        <xdr:cNvSpPr/>
      </xdr:nvSpPr>
      <xdr:spPr>
        <a:xfrm>
          <a:off x="1219200" y="80876775"/>
          <a:ext cx="482600" cy="787400"/>
        </a:xfrm>
        <a:prstGeom prst="rect">
          <a:avLst/>
        </a:prstGeom>
        <a:solidFill>
          <a:srgbClr val="C6E0B4"/>
        </a:solidFill>
        <a:ln w="12700" cap="flat" cmpd="sng" algn="ctr">
          <a:solidFill>
            <a:srgbClr val="548235"/>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0" lang="tr-TR" sz="700" b="1" i="0" u="none" strike="noStrike" kern="0" cap="none" spc="0" normalizeH="0" baseline="0" noProof="0">
              <a:ln>
                <a:noFill/>
              </a:ln>
              <a:solidFill>
                <a:srgbClr val="375623"/>
              </a:solidFill>
              <a:effectLst/>
              <a:uLnTx/>
              <a:uFillTx/>
              <a:latin typeface="Aptos Narrow" panose="02110004020202020204"/>
            </a:rPr>
            <a:t>PS1
24VDC
3A</a:t>
          </a:r>
        </a:p>
      </xdr:txBody>
    </xdr:sp>
    <xdr:clientData/>
  </xdr:twoCellAnchor>
  <xdr:twoCellAnchor>
    <xdr:from>
      <xdr:col>1</xdr:col>
      <xdr:colOff>1266825</xdr:colOff>
      <xdr:row>222</xdr:row>
      <xdr:rowOff>47625</xdr:rowOff>
    </xdr:from>
    <xdr:to>
      <xdr:col>1</xdr:col>
      <xdr:colOff>1711325</xdr:colOff>
      <xdr:row>225</xdr:row>
      <xdr:rowOff>158750</xdr:rowOff>
    </xdr:to>
    <xdr:sp macro="" textlink="">
      <xdr:nvSpPr>
        <xdr:cNvPr id="38" name="Pano2D_Phase">
          <a:extLst>
            <a:ext uri="{FF2B5EF4-FFF2-40B4-BE49-F238E27FC236}">
              <a16:creationId xmlns:a16="http://schemas.microsoft.com/office/drawing/2014/main" id="{9D9C215E-B44D-49A3-BF76-E57BDE1AAA79}"/>
            </a:ext>
          </a:extLst>
        </xdr:cNvPr>
        <xdr:cNvSpPr/>
      </xdr:nvSpPr>
      <xdr:spPr>
        <a:xfrm>
          <a:off x="1828800" y="80981550"/>
          <a:ext cx="444500" cy="682625"/>
        </a:xfrm>
        <a:prstGeom prst="rect">
          <a:avLst/>
        </a:prstGeom>
        <a:solidFill>
          <a:srgbClr val="DDEBF7"/>
        </a:solidFill>
        <a:ln w="12700" cap="flat" cmpd="sng" algn="ctr">
          <a:solidFill>
            <a:srgbClr val="5B9BD5"/>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0" lang="tr-TR" sz="700" b="1" i="0" u="none" strike="noStrike" kern="0" cap="none" spc="0" normalizeH="0" baseline="0" noProof="0">
              <a:ln>
                <a:noFill/>
              </a:ln>
              <a:solidFill>
                <a:srgbClr val="17365D"/>
              </a:solidFill>
              <a:effectLst/>
              <a:uLnTx/>
              <a:uFillTx/>
              <a:latin typeface="Aptos Narrow" panose="02110004020202020204"/>
            </a:rPr>
            <a:t>KPH
RM35TF</a:t>
          </a:r>
        </a:p>
      </xdr:txBody>
    </xdr:sp>
    <xdr:clientData/>
  </xdr:twoCellAnchor>
  <xdr:twoCellAnchor>
    <xdr:from>
      <xdr:col>2</xdr:col>
      <xdr:colOff>6350</xdr:colOff>
      <xdr:row>222</xdr:row>
      <xdr:rowOff>47625</xdr:rowOff>
    </xdr:from>
    <xdr:to>
      <xdr:col>2</xdr:col>
      <xdr:colOff>450850</xdr:colOff>
      <xdr:row>225</xdr:row>
      <xdr:rowOff>158750</xdr:rowOff>
    </xdr:to>
    <xdr:sp macro="" textlink="">
      <xdr:nvSpPr>
        <xdr:cNvPr id="39" name="Pano2D_Level">
          <a:extLst>
            <a:ext uri="{FF2B5EF4-FFF2-40B4-BE49-F238E27FC236}">
              <a16:creationId xmlns:a16="http://schemas.microsoft.com/office/drawing/2014/main" id="{65B39FE6-C57E-403D-8559-1ACDEFEA7D08}"/>
            </a:ext>
          </a:extLst>
        </xdr:cNvPr>
        <xdr:cNvSpPr/>
      </xdr:nvSpPr>
      <xdr:spPr>
        <a:xfrm>
          <a:off x="2349500" y="80981550"/>
          <a:ext cx="444500" cy="682625"/>
        </a:xfrm>
        <a:prstGeom prst="rect">
          <a:avLst/>
        </a:prstGeom>
        <a:solidFill>
          <a:srgbClr val="DDEBF7"/>
        </a:solidFill>
        <a:ln w="12700" cap="flat" cmpd="sng" algn="ctr">
          <a:solidFill>
            <a:srgbClr val="5B9BD5"/>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0" lang="tr-TR" sz="700" b="1" i="0" u="none" strike="noStrike" kern="0" cap="none" spc="0" normalizeH="0" baseline="0" noProof="0">
              <a:ln>
                <a:noFill/>
              </a:ln>
              <a:solidFill>
                <a:srgbClr val="17365D"/>
              </a:solidFill>
              <a:effectLst/>
              <a:uLnTx/>
              <a:uFillTx/>
              <a:latin typeface="Aptos Narrow" panose="02110004020202020204"/>
            </a:rPr>
            <a:t>KL
RM35LM</a:t>
          </a:r>
        </a:p>
      </xdr:txBody>
    </xdr:sp>
    <xdr:clientData/>
  </xdr:twoCellAnchor>
  <xdr:twoCellAnchor>
    <xdr:from>
      <xdr:col>2</xdr:col>
      <xdr:colOff>565150</xdr:colOff>
      <xdr:row>221</xdr:row>
      <xdr:rowOff>146050</xdr:rowOff>
    </xdr:from>
    <xdr:to>
      <xdr:col>3</xdr:col>
      <xdr:colOff>142875</xdr:colOff>
      <xdr:row>225</xdr:row>
      <xdr:rowOff>158750</xdr:rowOff>
    </xdr:to>
    <xdr:sp macro="" textlink="">
      <xdr:nvSpPr>
        <xdr:cNvPr id="40" name="Pano2D_PID">
          <a:extLst>
            <a:ext uri="{FF2B5EF4-FFF2-40B4-BE49-F238E27FC236}">
              <a16:creationId xmlns:a16="http://schemas.microsoft.com/office/drawing/2014/main" id="{DFB5EC21-54F9-405A-BAB2-14D043B1B750}"/>
            </a:ext>
          </a:extLst>
        </xdr:cNvPr>
        <xdr:cNvSpPr/>
      </xdr:nvSpPr>
      <xdr:spPr>
        <a:xfrm>
          <a:off x="2908300" y="80889475"/>
          <a:ext cx="596900" cy="774700"/>
        </a:xfrm>
        <a:prstGeom prst="rect">
          <a:avLst/>
        </a:prstGeom>
        <a:solidFill>
          <a:srgbClr val="E2F0D9"/>
        </a:solidFill>
        <a:ln w="12700" cap="flat" cmpd="sng" algn="ctr">
          <a:solidFill>
            <a:srgbClr val="548235"/>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0" lang="tr-TR" sz="700" b="1" i="0" u="none" strike="noStrike" kern="0" cap="none" spc="0" normalizeH="0" baseline="0" noProof="0">
              <a:ln>
                <a:noFill/>
              </a:ln>
              <a:solidFill>
                <a:srgbClr val="375623"/>
              </a:solidFill>
              <a:effectLst/>
              <a:uLnTx/>
              <a:uFillTx/>
              <a:latin typeface="Aptos Narrow" panose="02110004020202020204"/>
            </a:rPr>
            <a:t>TC1
PM PLUS
PID</a:t>
          </a:r>
        </a:p>
      </xdr:txBody>
    </xdr:sp>
    <xdr:clientData/>
  </xdr:twoCellAnchor>
  <xdr:twoCellAnchor>
    <xdr:from>
      <xdr:col>3</xdr:col>
      <xdr:colOff>231775</xdr:colOff>
      <xdr:row>221</xdr:row>
      <xdr:rowOff>146050</xdr:rowOff>
    </xdr:from>
    <xdr:to>
      <xdr:col>3</xdr:col>
      <xdr:colOff>828675</xdr:colOff>
      <xdr:row>225</xdr:row>
      <xdr:rowOff>158750</xdr:rowOff>
    </xdr:to>
    <xdr:sp macro="" textlink="">
      <xdr:nvSpPr>
        <xdr:cNvPr id="41" name="Pano2D_Limit">
          <a:extLst>
            <a:ext uri="{FF2B5EF4-FFF2-40B4-BE49-F238E27FC236}">
              <a16:creationId xmlns:a16="http://schemas.microsoft.com/office/drawing/2014/main" id="{60FCA3EE-EA34-49E5-852F-4284892A62CC}"/>
            </a:ext>
          </a:extLst>
        </xdr:cNvPr>
        <xdr:cNvSpPr/>
      </xdr:nvSpPr>
      <xdr:spPr>
        <a:xfrm>
          <a:off x="3594100" y="80889475"/>
          <a:ext cx="596900" cy="774700"/>
        </a:xfrm>
        <a:prstGeom prst="rect">
          <a:avLst/>
        </a:prstGeom>
        <a:solidFill>
          <a:srgbClr val="FFF2CC"/>
        </a:solidFill>
        <a:ln w="12700" cap="flat" cmpd="sng" algn="ctr">
          <a:solidFill>
            <a:srgbClr val="BF9000"/>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0" lang="tr-TR" sz="700" b="1" i="0" u="none" strike="noStrike" kern="0" cap="none" spc="0" normalizeH="0" baseline="0" noProof="0">
              <a:ln>
                <a:noFill/>
              </a:ln>
              <a:solidFill>
                <a:srgbClr val="7F6000"/>
              </a:solidFill>
              <a:effectLst/>
              <a:uLnTx/>
              <a:uFillTx/>
              <a:latin typeface="Aptos Narrow" panose="02110004020202020204"/>
            </a:rPr>
            <a:t>TSH
HIGH LIMIT</a:t>
          </a:r>
        </a:p>
      </xdr:txBody>
    </xdr:sp>
    <xdr:clientData/>
  </xdr:twoCellAnchor>
  <xdr:twoCellAnchor>
    <xdr:from>
      <xdr:col>1</xdr:col>
      <xdr:colOff>657225</xdr:colOff>
      <xdr:row>230</xdr:row>
      <xdr:rowOff>9525</xdr:rowOff>
    </xdr:from>
    <xdr:to>
      <xdr:col>2</xdr:col>
      <xdr:colOff>336550</xdr:colOff>
      <xdr:row>233</xdr:row>
      <xdr:rowOff>146050</xdr:rowOff>
    </xdr:to>
    <xdr:sp macro="" textlink="">
      <xdr:nvSpPr>
        <xdr:cNvPr id="42" name="Pano2D_PowerTB">
          <a:extLst>
            <a:ext uri="{FF2B5EF4-FFF2-40B4-BE49-F238E27FC236}">
              <a16:creationId xmlns:a16="http://schemas.microsoft.com/office/drawing/2014/main" id="{F9CDD218-0083-4AFC-84EE-0E4133E8EF17}"/>
            </a:ext>
          </a:extLst>
        </xdr:cNvPr>
        <xdr:cNvSpPr/>
      </xdr:nvSpPr>
      <xdr:spPr>
        <a:xfrm>
          <a:off x="1219200" y="82467450"/>
          <a:ext cx="1460500" cy="708025"/>
        </a:xfrm>
        <a:prstGeom prst="rect">
          <a:avLst/>
        </a:prstGeom>
        <a:solidFill>
          <a:srgbClr val="E7E6E6"/>
        </a:solidFill>
        <a:ln w="12700" cap="flat" cmpd="sng" algn="ctr">
          <a:solidFill>
            <a:srgbClr val="595959"/>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0" lang="tr-TR" sz="700" b="1" i="0" u="none" strike="noStrike" kern="0" cap="none" spc="0" normalizeH="0" baseline="0" noProof="0">
              <a:ln>
                <a:noFill/>
              </a:ln>
              <a:solidFill>
                <a:srgbClr val="404040"/>
              </a:solidFill>
              <a:effectLst/>
              <a:uLnTx/>
              <a:uFillTx/>
              <a:latin typeface="Aptos Narrow" panose="02110004020202020204"/>
            </a:rPr>
            <a:t>X1 — GÜÇ TERMİNALLERİ
Pompa • Isıtıcı • 2 Motor</a:t>
          </a:r>
        </a:p>
      </xdr:txBody>
    </xdr:sp>
    <xdr:clientData/>
  </xdr:twoCellAnchor>
  <xdr:twoCellAnchor>
    <xdr:from>
      <xdr:col>2</xdr:col>
      <xdr:colOff>412750</xdr:colOff>
      <xdr:row>230</xdr:row>
      <xdr:rowOff>9525</xdr:rowOff>
    </xdr:from>
    <xdr:to>
      <xdr:col>3</xdr:col>
      <xdr:colOff>828675</xdr:colOff>
      <xdr:row>233</xdr:row>
      <xdr:rowOff>146050</xdr:rowOff>
    </xdr:to>
    <xdr:sp macro="" textlink="">
      <xdr:nvSpPr>
        <xdr:cNvPr id="43" name="Pano2D_ControlTB">
          <a:extLst>
            <a:ext uri="{FF2B5EF4-FFF2-40B4-BE49-F238E27FC236}">
              <a16:creationId xmlns:a16="http://schemas.microsoft.com/office/drawing/2014/main" id="{391107A8-CFCA-4203-965D-C5CC480BFA08}"/>
            </a:ext>
          </a:extLst>
        </xdr:cNvPr>
        <xdr:cNvSpPr/>
      </xdr:nvSpPr>
      <xdr:spPr>
        <a:xfrm>
          <a:off x="2755900" y="82467450"/>
          <a:ext cx="1435100" cy="708025"/>
        </a:xfrm>
        <a:prstGeom prst="rect">
          <a:avLst/>
        </a:prstGeom>
        <a:solidFill>
          <a:srgbClr val="E7E6E6"/>
        </a:solidFill>
        <a:ln w="12700" cap="flat" cmpd="sng" algn="ctr">
          <a:solidFill>
            <a:srgbClr val="595959"/>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0" lang="tr-TR" sz="700" b="1" i="0" u="none" strike="noStrike" kern="0" cap="none" spc="0" normalizeH="0" baseline="0" noProof="0">
              <a:ln>
                <a:noFill/>
              </a:ln>
              <a:solidFill>
                <a:srgbClr val="404040"/>
              </a:solidFill>
              <a:effectLst/>
              <a:uLnTx/>
              <a:uFillTx/>
              <a:latin typeface="Aptos Narrow" panose="02110004020202020204"/>
            </a:rPr>
            <a:t>X2 — KONTROL / SENSÖR
D4NL • Switch • Seviye • TC</a:t>
          </a:r>
        </a:p>
      </xdr:txBody>
    </xdr:sp>
    <xdr:clientData/>
  </xdr:twoCellAnchor>
  <xdr:twoCellAnchor>
    <xdr:from>
      <xdr:col>1</xdr:col>
      <xdr:colOff>657225</xdr:colOff>
      <xdr:row>235</xdr:row>
      <xdr:rowOff>12700</xdr:rowOff>
    </xdr:from>
    <xdr:to>
      <xdr:col>3</xdr:col>
      <xdr:colOff>828675</xdr:colOff>
      <xdr:row>236</xdr:row>
      <xdr:rowOff>130175</xdr:rowOff>
    </xdr:to>
    <xdr:sp macro="" textlink="">
      <xdr:nvSpPr>
        <xdr:cNvPr id="44" name="Pano2D_PE">
          <a:extLst>
            <a:ext uri="{FF2B5EF4-FFF2-40B4-BE49-F238E27FC236}">
              <a16:creationId xmlns:a16="http://schemas.microsoft.com/office/drawing/2014/main" id="{6D25421E-F50C-495E-B601-0B96D6A8C455}"/>
            </a:ext>
          </a:extLst>
        </xdr:cNvPr>
        <xdr:cNvSpPr/>
      </xdr:nvSpPr>
      <xdr:spPr>
        <a:xfrm>
          <a:off x="1219200" y="83423125"/>
          <a:ext cx="2971800" cy="307975"/>
        </a:xfrm>
        <a:prstGeom prst="rect">
          <a:avLst/>
        </a:prstGeom>
        <a:solidFill>
          <a:srgbClr val="A9D18E"/>
        </a:solidFill>
        <a:ln w="12700" cap="flat" cmpd="sng" algn="ctr">
          <a:solidFill>
            <a:srgbClr val="548235"/>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0" lang="tr-TR" sz="700" b="1" i="0" u="none" strike="noStrike" kern="0" cap="none" spc="0" normalizeH="0" baseline="0" noProof="0">
              <a:ln>
                <a:noFill/>
              </a:ln>
              <a:solidFill>
                <a:srgbClr val="375623"/>
              </a:solidFill>
              <a:effectLst/>
              <a:uLnTx/>
              <a:uFillTx/>
              <a:latin typeface="Aptos Narrow" panose="02110004020202020204"/>
            </a:rPr>
            <a:t>PE BARASI — KAPI / PLAKA / GÖVDE BONDING</a:t>
          </a:r>
        </a:p>
      </xdr:txBody>
    </xdr:sp>
    <xdr:clientData/>
  </xdr:twoCellAnchor>
  <xdr:twoCellAnchor>
    <xdr:from>
      <xdr:col>2</xdr:col>
      <xdr:colOff>806450</xdr:colOff>
      <xdr:row>204</xdr:row>
      <xdr:rowOff>117475</xdr:rowOff>
    </xdr:from>
    <xdr:to>
      <xdr:col>2</xdr:col>
      <xdr:colOff>806450</xdr:colOff>
      <xdr:row>213</xdr:row>
      <xdr:rowOff>19050</xdr:rowOff>
    </xdr:to>
    <xdr:cxnSp macro="">
      <xdr:nvCxnSpPr>
        <xdr:cNvPr id="45" name="Pano2D_Segregation">
          <a:extLst>
            <a:ext uri="{FF2B5EF4-FFF2-40B4-BE49-F238E27FC236}">
              <a16:creationId xmlns:a16="http://schemas.microsoft.com/office/drawing/2014/main" id="{9DA8FDEE-AC09-4202-AA4D-47A3A2A351A5}"/>
            </a:ext>
          </a:extLst>
        </xdr:cNvPr>
        <xdr:cNvCxnSpPr/>
      </xdr:nvCxnSpPr>
      <xdr:spPr>
        <a:xfrm>
          <a:off x="3149600" y="77622400"/>
          <a:ext cx="0" cy="1616075"/>
        </a:xfrm>
        <a:prstGeom prst="straightConnector1">
          <a:avLst/>
        </a:prstGeom>
        <a:noFill/>
        <a:ln w="19050" cap="flat" cmpd="sng" algn="ctr">
          <a:solidFill>
            <a:srgbClr val="C00000"/>
          </a:solidFill>
          <a:prstDash val="solid"/>
          <a:miter lim="800000"/>
        </a:ln>
        <a:effectLst/>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742950</xdr:colOff>
      <xdr:row>210</xdr:row>
      <xdr:rowOff>149225</xdr:rowOff>
    </xdr:from>
    <xdr:to>
      <xdr:col>3</xdr:col>
      <xdr:colOff>841375</xdr:colOff>
      <xdr:row>212</xdr:row>
      <xdr:rowOff>3175</xdr:rowOff>
    </xdr:to>
    <xdr:sp macro="" textlink="">
      <xdr:nvSpPr>
        <xdr:cNvPr id="46" name="Pano2D_SegLabel">
          <a:extLst>
            <a:ext uri="{FF2B5EF4-FFF2-40B4-BE49-F238E27FC236}">
              <a16:creationId xmlns:a16="http://schemas.microsoft.com/office/drawing/2014/main" id="{F96A8C70-EB5B-4D1A-89E2-4A7E7DA7DE6F}"/>
            </a:ext>
          </a:extLst>
        </xdr:cNvPr>
        <xdr:cNvSpPr/>
      </xdr:nvSpPr>
      <xdr:spPr>
        <a:xfrm>
          <a:off x="3086100" y="78797150"/>
          <a:ext cx="1117600" cy="234950"/>
        </a:xfrm>
        <a:prstGeom prst="rect">
          <a:avLst/>
        </a:prstGeom>
        <a:solidFill>
          <a:srgbClr val="FFFFFF"/>
        </a:solidFill>
        <a:ln w="19050" cap="flat" cmpd="sng" algn="ctr">
          <a:solidFill>
            <a:srgbClr val="FFFFFF"/>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0" lang="tr-TR" sz="600" b="1" i="0" u="none" strike="noStrike" kern="0" cap="none" spc="0" normalizeH="0" baseline="0" noProof="0">
              <a:ln>
                <a:noFill/>
              </a:ln>
              <a:solidFill>
                <a:srgbClr val="C00000"/>
              </a:solidFill>
              <a:effectLst/>
              <a:uLnTx/>
              <a:uFillTx/>
              <a:latin typeface="Aptos Narrow" panose="02110004020202020204"/>
            </a:rPr>
            <a:t>GÜÇ / KONTROL AYRIMI</a:t>
          </a:r>
        </a:p>
      </xdr:txBody>
    </xdr:sp>
    <xdr:clientData/>
  </xdr:twoCellAnchor>
  <xdr:twoCellAnchor>
    <xdr:from>
      <xdr:col>1</xdr:col>
      <xdr:colOff>873125</xdr:colOff>
      <xdr:row>237</xdr:row>
      <xdr:rowOff>6350</xdr:rowOff>
    </xdr:from>
    <xdr:to>
      <xdr:col>3</xdr:col>
      <xdr:colOff>587375</xdr:colOff>
      <xdr:row>238</xdr:row>
      <xdr:rowOff>60325</xdr:rowOff>
    </xdr:to>
    <xdr:sp macro="" textlink="">
      <xdr:nvSpPr>
        <xdr:cNvPr id="47" name="Pano2D_CableEntry">
          <a:extLst>
            <a:ext uri="{FF2B5EF4-FFF2-40B4-BE49-F238E27FC236}">
              <a16:creationId xmlns:a16="http://schemas.microsoft.com/office/drawing/2014/main" id="{46A0C7C1-B34A-4A93-99AA-92D00AA16D24}"/>
            </a:ext>
          </a:extLst>
        </xdr:cNvPr>
        <xdr:cNvSpPr/>
      </xdr:nvSpPr>
      <xdr:spPr>
        <a:xfrm>
          <a:off x="1435100" y="83797775"/>
          <a:ext cx="2514600" cy="244475"/>
        </a:xfrm>
        <a:prstGeom prst="rect">
          <a:avLst/>
        </a:prstGeom>
        <a:solidFill>
          <a:srgbClr val="FFFFFF"/>
        </a:solidFill>
        <a:ln w="19050" cap="flat" cmpd="sng" algn="ctr">
          <a:solidFill>
            <a:srgbClr val="FFFFFF"/>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0" lang="tr-TR" sz="700" b="1" i="0" u="none" strike="noStrike" kern="0" cap="none" spc="0" normalizeH="0" baseline="0" noProof="0">
              <a:ln>
                <a:noFill/>
              </a:ln>
              <a:solidFill>
                <a:srgbClr val="404040"/>
              </a:solidFill>
              <a:effectLst/>
              <a:uLnTx/>
              <a:uFillTx/>
              <a:latin typeface="Aptos Narrow" panose="02110004020202020204"/>
            </a:rPr>
            <a:t>ALT KABLO GİRİŞİ — TYPE 4X RAKOR PLAKASI</a:t>
          </a:r>
        </a:p>
      </xdr:txBody>
    </xdr:sp>
    <xdr:clientData/>
  </xdr:twoCellAnchor>
  <xdr:twoCellAnchor>
    <xdr:from>
      <xdr:col>4</xdr:col>
      <xdr:colOff>38100</xdr:colOff>
      <xdr:row>200</xdr:row>
      <xdr:rowOff>3175</xdr:rowOff>
    </xdr:from>
    <xdr:to>
      <xdr:col>6</xdr:col>
      <xdr:colOff>650875</xdr:colOff>
      <xdr:row>229</xdr:row>
      <xdr:rowOff>158750</xdr:rowOff>
    </xdr:to>
    <xdr:sp macro="" textlink="">
      <xdr:nvSpPr>
        <xdr:cNvPr id="48" name="Pano2D_DoorOuter">
          <a:extLst>
            <a:ext uri="{FF2B5EF4-FFF2-40B4-BE49-F238E27FC236}">
              <a16:creationId xmlns:a16="http://schemas.microsoft.com/office/drawing/2014/main" id="{B0461F1A-CC67-4E21-88B4-72BAE0645160}"/>
            </a:ext>
          </a:extLst>
        </xdr:cNvPr>
        <xdr:cNvSpPr/>
      </xdr:nvSpPr>
      <xdr:spPr>
        <a:xfrm>
          <a:off x="5372100" y="76746100"/>
          <a:ext cx="3022600" cy="5680075"/>
        </a:xfrm>
        <a:prstGeom prst="rect">
          <a:avLst/>
        </a:prstGeom>
        <a:solidFill>
          <a:srgbClr val="F2F2F2"/>
        </a:solidFill>
        <a:ln w="19050" cap="flat" cmpd="sng" algn="ctr">
          <a:solidFill>
            <a:srgbClr val="1F1F1F"/>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0" lang="tr-TR" sz="800" b="0" i="0" u="none" strike="noStrike" kern="0" cap="none" spc="0" normalizeH="0" baseline="0" noProof="0">
            <a:ln>
              <a:noFill/>
            </a:ln>
            <a:solidFill>
              <a:srgbClr val="000000"/>
            </a:solidFill>
            <a:effectLst/>
            <a:uLnTx/>
            <a:uFillTx/>
            <a:latin typeface="Aptos Narrow" panose="02110004020202020204"/>
          </a:endParaRPr>
        </a:p>
      </xdr:txBody>
    </xdr:sp>
    <xdr:clientData/>
  </xdr:twoCellAnchor>
  <xdr:twoCellAnchor>
    <xdr:from>
      <xdr:col>4</xdr:col>
      <xdr:colOff>38100</xdr:colOff>
      <xdr:row>198</xdr:row>
      <xdr:rowOff>9525</xdr:rowOff>
    </xdr:from>
    <xdr:to>
      <xdr:col>6</xdr:col>
      <xdr:colOff>650875</xdr:colOff>
      <xdr:row>199</xdr:row>
      <xdr:rowOff>88900</xdr:rowOff>
    </xdr:to>
    <xdr:sp macro="" textlink="">
      <xdr:nvSpPr>
        <xdr:cNvPr id="49" name="Pano2D_DoorTitle">
          <a:extLst>
            <a:ext uri="{FF2B5EF4-FFF2-40B4-BE49-F238E27FC236}">
              <a16:creationId xmlns:a16="http://schemas.microsoft.com/office/drawing/2014/main" id="{91E58060-765E-4E78-BEDD-A2CD2D2F5949}"/>
            </a:ext>
          </a:extLst>
        </xdr:cNvPr>
        <xdr:cNvSpPr/>
      </xdr:nvSpPr>
      <xdr:spPr>
        <a:xfrm>
          <a:off x="5372100" y="76371450"/>
          <a:ext cx="3022600" cy="269875"/>
        </a:xfrm>
        <a:prstGeom prst="rect">
          <a:avLst/>
        </a:prstGeom>
        <a:solidFill>
          <a:srgbClr val="FFFFFF"/>
        </a:solidFill>
        <a:ln w="19050" cap="flat" cmpd="sng" algn="ctr">
          <a:solidFill>
            <a:srgbClr val="FFFFFF"/>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0" lang="tr-TR" sz="1000" b="1" i="0" u="none" strike="noStrike" kern="0" cap="none" spc="0" normalizeH="0" baseline="0" noProof="0">
              <a:ln>
                <a:noFill/>
              </a:ln>
              <a:solidFill>
                <a:srgbClr val="17365D"/>
              </a:solidFill>
              <a:effectLst/>
              <a:uLnTx/>
              <a:uFillTx/>
              <a:latin typeface="Aptos Narrow" panose="02110004020202020204"/>
            </a:rPr>
            <a:t>KAPI YÜZEYİ — OPERATÖR YERLEŞİMİ</a:t>
          </a:r>
        </a:p>
      </xdr:txBody>
    </xdr:sp>
    <xdr:clientData/>
  </xdr:twoCellAnchor>
  <xdr:twoCellAnchor>
    <xdr:from>
      <xdr:col>4</xdr:col>
      <xdr:colOff>228600</xdr:colOff>
      <xdr:row>201</xdr:row>
      <xdr:rowOff>158750</xdr:rowOff>
    </xdr:from>
    <xdr:to>
      <xdr:col>4</xdr:col>
      <xdr:colOff>800100</xdr:colOff>
      <xdr:row>207</xdr:row>
      <xdr:rowOff>101600</xdr:rowOff>
    </xdr:to>
    <xdr:sp macro="" textlink="">
      <xdr:nvSpPr>
        <xdr:cNvPr id="50" name="Pano2D_DoorHandle">
          <a:extLst>
            <a:ext uri="{FF2B5EF4-FFF2-40B4-BE49-F238E27FC236}">
              <a16:creationId xmlns:a16="http://schemas.microsoft.com/office/drawing/2014/main" id="{360C9134-0699-4BFE-9F7F-951C84DE9F81}"/>
            </a:ext>
          </a:extLst>
        </xdr:cNvPr>
        <xdr:cNvSpPr/>
      </xdr:nvSpPr>
      <xdr:spPr>
        <a:xfrm>
          <a:off x="5562600" y="77092175"/>
          <a:ext cx="571500" cy="1085850"/>
        </a:xfrm>
        <a:prstGeom prst="rect">
          <a:avLst/>
        </a:prstGeom>
        <a:solidFill>
          <a:srgbClr val="F4B183"/>
        </a:solidFill>
        <a:ln w="19050" cap="flat" cmpd="sng" algn="ctr">
          <a:solidFill>
            <a:srgbClr val="C65911"/>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0" lang="tr-TR" sz="700" b="1" i="0" u="none" strike="noStrike" kern="0" cap="none" spc="0" normalizeH="0" baseline="0" noProof="0">
              <a:ln>
                <a:noFill/>
              </a:ln>
              <a:solidFill>
                <a:srgbClr val="7F2704"/>
              </a:solidFill>
              <a:effectLst/>
              <a:uLnTx/>
              <a:uFillTx/>
              <a:latin typeface="Aptos Narrow" panose="02110004020202020204"/>
            </a:rPr>
            <a:t>MAIN
DISCONNECT
OFF / ON</a:t>
          </a:r>
        </a:p>
      </xdr:txBody>
    </xdr:sp>
    <xdr:clientData/>
  </xdr:twoCellAnchor>
  <xdr:twoCellAnchor>
    <xdr:from>
      <xdr:col>5</xdr:col>
      <xdr:colOff>320675</xdr:colOff>
      <xdr:row>202</xdr:row>
      <xdr:rowOff>111125</xdr:rowOff>
    </xdr:from>
    <xdr:to>
      <xdr:col>5</xdr:col>
      <xdr:colOff>1019175</xdr:colOff>
      <xdr:row>207</xdr:row>
      <xdr:rowOff>0</xdr:rowOff>
    </xdr:to>
    <xdr:sp macro="" textlink="">
      <xdr:nvSpPr>
        <xdr:cNvPr id="51" name="Pano2D_EStop">
          <a:extLst>
            <a:ext uri="{FF2B5EF4-FFF2-40B4-BE49-F238E27FC236}">
              <a16:creationId xmlns:a16="http://schemas.microsoft.com/office/drawing/2014/main" id="{ECD7099E-BC06-4C62-A6CF-8270787D065B}"/>
            </a:ext>
          </a:extLst>
        </xdr:cNvPr>
        <xdr:cNvSpPr/>
      </xdr:nvSpPr>
      <xdr:spPr>
        <a:xfrm>
          <a:off x="6540500" y="77235050"/>
          <a:ext cx="698500" cy="841375"/>
        </a:xfrm>
        <a:prstGeom prst="rect">
          <a:avLst/>
        </a:prstGeom>
        <a:solidFill>
          <a:srgbClr val="FF0000"/>
        </a:solidFill>
        <a:ln w="19050" cap="flat" cmpd="sng" algn="ctr">
          <a:solidFill>
            <a:srgbClr val="C00000"/>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0" lang="tr-TR" sz="800" b="1" i="0" u="none" strike="noStrike" kern="0" cap="none" spc="0" normalizeH="0" baseline="0" noProof="0">
              <a:ln>
                <a:noFill/>
              </a:ln>
              <a:solidFill>
                <a:srgbClr val="FFFFFF"/>
              </a:solidFill>
              <a:effectLst/>
              <a:uLnTx/>
              <a:uFillTx/>
              <a:latin typeface="Aptos Narrow" panose="02110004020202020204"/>
            </a:rPr>
            <a:t>EMERGENCY
STOP</a:t>
          </a:r>
        </a:p>
      </xdr:txBody>
    </xdr:sp>
    <xdr:clientData/>
  </xdr:twoCellAnchor>
  <xdr:twoCellAnchor>
    <xdr:from>
      <xdr:col>5</xdr:col>
      <xdr:colOff>1260475</xdr:colOff>
      <xdr:row>202</xdr:row>
      <xdr:rowOff>34925</xdr:rowOff>
    </xdr:from>
    <xdr:to>
      <xdr:col>6</xdr:col>
      <xdr:colOff>396875</xdr:colOff>
      <xdr:row>207</xdr:row>
      <xdr:rowOff>38100</xdr:rowOff>
    </xdr:to>
    <xdr:sp macro="" textlink="">
      <xdr:nvSpPr>
        <xdr:cNvPr id="52" name="Pano2D_PIDDisplay">
          <a:extLst>
            <a:ext uri="{FF2B5EF4-FFF2-40B4-BE49-F238E27FC236}">
              <a16:creationId xmlns:a16="http://schemas.microsoft.com/office/drawing/2014/main" id="{65118FFC-C3F6-4395-AB4F-87405B5A0D2E}"/>
            </a:ext>
          </a:extLst>
        </xdr:cNvPr>
        <xdr:cNvSpPr/>
      </xdr:nvSpPr>
      <xdr:spPr>
        <a:xfrm>
          <a:off x="7480300" y="77158850"/>
          <a:ext cx="660400" cy="955675"/>
        </a:xfrm>
        <a:prstGeom prst="rect">
          <a:avLst/>
        </a:prstGeom>
        <a:solidFill>
          <a:srgbClr val="D9EAD3"/>
        </a:solidFill>
        <a:ln w="19050" cap="flat" cmpd="sng" algn="ctr">
          <a:solidFill>
            <a:srgbClr val="548235"/>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0" lang="tr-TR" sz="800" b="1" i="0" u="none" strike="noStrike" kern="0" cap="none" spc="0" normalizeH="0" baseline="0" noProof="0">
              <a:ln>
                <a:noFill/>
              </a:ln>
              <a:solidFill>
                <a:srgbClr val="375623"/>
              </a:solidFill>
              <a:effectLst/>
              <a:uLnTx/>
              <a:uFillTx/>
              <a:latin typeface="Aptos Narrow" panose="02110004020202020204"/>
            </a:rPr>
            <a:t>TEMP
PM PLUS</a:t>
          </a:r>
        </a:p>
      </xdr:txBody>
    </xdr:sp>
    <xdr:clientData/>
  </xdr:twoCellAnchor>
  <xdr:twoCellAnchor>
    <xdr:from>
      <xdr:col>4</xdr:col>
      <xdr:colOff>393700</xdr:colOff>
      <xdr:row>211</xdr:row>
      <xdr:rowOff>0</xdr:rowOff>
    </xdr:from>
    <xdr:to>
      <xdr:col>5</xdr:col>
      <xdr:colOff>92075</xdr:colOff>
      <xdr:row>214</xdr:row>
      <xdr:rowOff>98425</xdr:rowOff>
    </xdr:to>
    <xdr:sp macro="" textlink="">
      <xdr:nvSpPr>
        <xdr:cNvPr id="53" name="Pano2D_Op1">
          <a:extLst>
            <a:ext uri="{FF2B5EF4-FFF2-40B4-BE49-F238E27FC236}">
              <a16:creationId xmlns:a16="http://schemas.microsoft.com/office/drawing/2014/main" id="{7106CFB1-5207-46D3-A5F8-6265BEC2D5EB}"/>
            </a:ext>
          </a:extLst>
        </xdr:cNvPr>
        <xdr:cNvSpPr/>
      </xdr:nvSpPr>
      <xdr:spPr>
        <a:xfrm>
          <a:off x="5727700" y="78838425"/>
          <a:ext cx="584200" cy="669925"/>
        </a:xfrm>
        <a:prstGeom prst="ellipse">
          <a:avLst/>
        </a:prstGeom>
        <a:solidFill>
          <a:srgbClr val="70AD47"/>
        </a:solidFill>
        <a:ln w="19050" cap="flat" cmpd="sng" algn="ctr">
          <a:solidFill>
            <a:srgbClr val="375623"/>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0" lang="tr-TR" sz="700" b="1" i="0" u="none" strike="noStrike" kern="0" cap="none" spc="0" normalizeH="0" baseline="0" noProof="0">
              <a:ln>
                <a:noFill/>
              </a:ln>
              <a:solidFill>
                <a:srgbClr val="FFFFFF"/>
              </a:solidFill>
              <a:effectLst/>
              <a:uLnTx/>
              <a:uFillTx/>
              <a:latin typeface="Aptos Narrow" panose="02110004020202020204"/>
            </a:rPr>
            <a:t>START</a:t>
          </a:r>
        </a:p>
      </xdr:txBody>
    </xdr:sp>
    <xdr:clientData/>
  </xdr:twoCellAnchor>
  <xdr:twoCellAnchor>
    <xdr:from>
      <xdr:col>5</xdr:col>
      <xdr:colOff>371475</xdr:colOff>
      <xdr:row>211</xdr:row>
      <xdr:rowOff>0</xdr:rowOff>
    </xdr:from>
    <xdr:to>
      <xdr:col>5</xdr:col>
      <xdr:colOff>955675</xdr:colOff>
      <xdr:row>214</xdr:row>
      <xdr:rowOff>98425</xdr:rowOff>
    </xdr:to>
    <xdr:sp macro="" textlink="">
      <xdr:nvSpPr>
        <xdr:cNvPr id="54" name="Pano2D_Op2">
          <a:extLst>
            <a:ext uri="{FF2B5EF4-FFF2-40B4-BE49-F238E27FC236}">
              <a16:creationId xmlns:a16="http://schemas.microsoft.com/office/drawing/2014/main" id="{F201A50A-4A01-4848-8246-AD3C9EC7B5FE}"/>
            </a:ext>
          </a:extLst>
        </xdr:cNvPr>
        <xdr:cNvSpPr/>
      </xdr:nvSpPr>
      <xdr:spPr>
        <a:xfrm>
          <a:off x="6591300" y="78838425"/>
          <a:ext cx="584200" cy="669925"/>
        </a:xfrm>
        <a:prstGeom prst="ellipse">
          <a:avLst/>
        </a:prstGeom>
        <a:solidFill>
          <a:srgbClr val="C00000"/>
        </a:solidFill>
        <a:ln w="19050" cap="flat" cmpd="sng" algn="ctr">
          <a:solidFill>
            <a:srgbClr val="7F0000"/>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0" lang="tr-TR" sz="700" b="1" i="0" u="none" strike="noStrike" kern="0" cap="none" spc="0" normalizeH="0" baseline="0" noProof="0">
              <a:ln>
                <a:noFill/>
              </a:ln>
              <a:solidFill>
                <a:srgbClr val="FFFFFF"/>
              </a:solidFill>
              <a:effectLst/>
              <a:uLnTx/>
              <a:uFillTx/>
              <a:latin typeface="Aptos Narrow" panose="02110004020202020204"/>
            </a:rPr>
            <a:t>STOP</a:t>
          </a:r>
        </a:p>
      </xdr:txBody>
    </xdr:sp>
    <xdr:clientData/>
  </xdr:twoCellAnchor>
  <xdr:twoCellAnchor>
    <xdr:from>
      <xdr:col>5</xdr:col>
      <xdr:colOff>1235075</xdr:colOff>
      <xdr:row>211</xdr:row>
      <xdr:rowOff>0</xdr:rowOff>
    </xdr:from>
    <xdr:to>
      <xdr:col>6</xdr:col>
      <xdr:colOff>295275</xdr:colOff>
      <xdr:row>214</xdr:row>
      <xdr:rowOff>98425</xdr:rowOff>
    </xdr:to>
    <xdr:sp macro="" textlink="">
      <xdr:nvSpPr>
        <xdr:cNvPr id="55" name="Pano2D_Op3">
          <a:extLst>
            <a:ext uri="{FF2B5EF4-FFF2-40B4-BE49-F238E27FC236}">
              <a16:creationId xmlns:a16="http://schemas.microsoft.com/office/drawing/2014/main" id="{950D41B4-8995-400F-BCFD-FD629037E410}"/>
            </a:ext>
          </a:extLst>
        </xdr:cNvPr>
        <xdr:cNvSpPr/>
      </xdr:nvSpPr>
      <xdr:spPr>
        <a:xfrm>
          <a:off x="7454900" y="78838425"/>
          <a:ext cx="584200" cy="669925"/>
        </a:xfrm>
        <a:prstGeom prst="ellipse">
          <a:avLst/>
        </a:prstGeom>
        <a:solidFill>
          <a:srgbClr val="5B9BD5"/>
        </a:solidFill>
        <a:ln w="19050" cap="flat" cmpd="sng" algn="ctr">
          <a:solidFill>
            <a:srgbClr val="17365D"/>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0" lang="tr-TR" sz="700" b="1" i="0" u="none" strike="noStrike" kern="0" cap="none" spc="0" normalizeH="0" baseline="0" noProof="0">
              <a:ln>
                <a:noFill/>
              </a:ln>
              <a:solidFill>
                <a:srgbClr val="FFFFFF"/>
              </a:solidFill>
              <a:effectLst/>
              <a:uLnTx/>
              <a:uFillTx/>
              <a:latin typeface="Aptos Narrow" panose="02110004020202020204"/>
            </a:rPr>
            <a:t>RESET</a:t>
          </a:r>
        </a:p>
      </xdr:txBody>
    </xdr:sp>
    <xdr:clientData/>
  </xdr:twoCellAnchor>
  <xdr:twoCellAnchor>
    <xdr:from>
      <xdr:col>4</xdr:col>
      <xdr:colOff>393700</xdr:colOff>
      <xdr:row>217</xdr:row>
      <xdr:rowOff>107950</xdr:rowOff>
    </xdr:from>
    <xdr:to>
      <xdr:col>5</xdr:col>
      <xdr:colOff>92075</xdr:colOff>
      <xdr:row>221</xdr:row>
      <xdr:rowOff>44450</xdr:rowOff>
    </xdr:to>
    <xdr:sp macro="" textlink="">
      <xdr:nvSpPr>
        <xdr:cNvPr id="56" name="Pano2D_Op4">
          <a:extLst>
            <a:ext uri="{FF2B5EF4-FFF2-40B4-BE49-F238E27FC236}">
              <a16:creationId xmlns:a16="http://schemas.microsoft.com/office/drawing/2014/main" id="{CCCBD14E-141E-4A91-A3FE-D50BEC8BDA2C}"/>
            </a:ext>
          </a:extLst>
        </xdr:cNvPr>
        <xdr:cNvSpPr/>
      </xdr:nvSpPr>
      <xdr:spPr>
        <a:xfrm>
          <a:off x="5727700" y="80089375"/>
          <a:ext cx="584200" cy="698500"/>
        </a:xfrm>
        <a:prstGeom prst="ellipse">
          <a:avLst/>
        </a:prstGeom>
        <a:solidFill>
          <a:srgbClr val="7F7F7F"/>
        </a:solidFill>
        <a:ln w="19050" cap="flat" cmpd="sng" algn="ctr">
          <a:solidFill>
            <a:srgbClr val="404040"/>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0" lang="tr-TR" sz="700" b="1" i="0" u="none" strike="noStrike" kern="0" cap="none" spc="0" normalizeH="0" baseline="0" noProof="0">
              <a:ln>
                <a:noFill/>
              </a:ln>
              <a:solidFill>
                <a:srgbClr val="FFFFFF"/>
              </a:solidFill>
              <a:effectLst/>
              <a:uLnTx/>
              <a:uFillTx/>
              <a:latin typeface="Aptos Narrow" panose="02110004020202020204"/>
            </a:rPr>
            <a:t>BASKET
TEST</a:t>
          </a:r>
        </a:p>
      </xdr:txBody>
    </xdr:sp>
    <xdr:clientData/>
  </xdr:twoCellAnchor>
  <xdr:twoCellAnchor>
    <xdr:from>
      <xdr:col>5</xdr:col>
      <xdr:colOff>371475</xdr:colOff>
      <xdr:row>217</xdr:row>
      <xdr:rowOff>107950</xdr:rowOff>
    </xdr:from>
    <xdr:to>
      <xdr:col>5</xdr:col>
      <xdr:colOff>955675</xdr:colOff>
      <xdr:row>221</xdr:row>
      <xdr:rowOff>44450</xdr:rowOff>
    </xdr:to>
    <xdr:sp macro="" textlink="">
      <xdr:nvSpPr>
        <xdr:cNvPr id="57" name="Pano2D_Op5">
          <a:extLst>
            <a:ext uri="{FF2B5EF4-FFF2-40B4-BE49-F238E27FC236}">
              <a16:creationId xmlns:a16="http://schemas.microsoft.com/office/drawing/2014/main" id="{C2CB42A6-619A-4A32-8917-98C7A3786547}"/>
            </a:ext>
          </a:extLst>
        </xdr:cNvPr>
        <xdr:cNvSpPr/>
      </xdr:nvSpPr>
      <xdr:spPr>
        <a:xfrm>
          <a:off x="6591300" y="80089375"/>
          <a:ext cx="584200" cy="698500"/>
        </a:xfrm>
        <a:prstGeom prst="ellipse">
          <a:avLst/>
        </a:prstGeom>
        <a:solidFill>
          <a:srgbClr val="A5A5A5"/>
        </a:solidFill>
        <a:ln w="19050" cap="flat" cmpd="sng" algn="ctr">
          <a:solidFill>
            <a:srgbClr val="404040"/>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0" lang="tr-TR" sz="700" b="1" i="0" u="none" strike="noStrike" kern="0" cap="none" spc="0" normalizeH="0" baseline="0" noProof="0">
              <a:ln>
                <a:noFill/>
              </a:ln>
              <a:solidFill>
                <a:srgbClr val="FFFFFF"/>
              </a:solidFill>
              <a:effectLst/>
              <a:uLnTx/>
              <a:uFillTx/>
              <a:latin typeface="Aptos Narrow" panose="02110004020202020204"/>
            </a:rPr>
            <a:t>OIL
SKIMMER</a:t>
          </a:r>
        </a:p>
      </xdr:txBody>
    </xdr:sp>
    <xdr:clientData/>
  </xdr:twoCellAnchor>
  <xdr:twoCellAnchor>
    <xdr:from>
      <xdr:col>5</xdr:col>
      <xdr:colOff>1235075</xdr:colOff>
      <xdr:row>217</xdr:row>
      <xdr:rowOff>107950</xdr:rowOff>
    </xdr:from>
    <xdr:to>
      <xdr:col>6</xdr:col>
      <xdr:colOff>295275</xdr:colOff>
      <xdr:row>221</xdr:row>
      <xdr:rowOff>44450</xdr:rowOff>
    </xdr:to>
    <xdr:sp macro="" textlink="">
      <xdr:nvSpPr>
        <xdr:cNvPr id="58" name="Pano2D_Op6">
          <a:extLst>
            <a:ext uri="{FF2B5EF4-FFF2-40B4-BE49-F238E27FC236}">
              <a16:creationId xmlns:a16="http://schemas.microsoft.com/office/drawing/2014/main" id="{1888C404-35C4-4E00-90A6-8998260BA28E}"/>
            </a:ext>
          </a:extLst>
        </xdr:cNvPr>
        <xdr:cNvSpPr/>
      </xdr:nvSpPr>
      <xdr:spPr>
        <a:xfrm>
          <a:off x="7454900" y="80089375"/>
          <a:ext cx="584200" cy="698500"/>
        </a:xfrm>
        <a:prstGeom prst="ellipse">
          <a:avLst/>
        </a:prstGeom>
        <a:solidFill>
          <a:srgbClr val="FFC000"/>
        </a:solidFill>
        <a:ln w="19050" cap="flat" cmpd="sng" algn="ctr">
          <a:solidFill>
            <a:srgbClr val="BF9000"/>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0" lang="tr-TR" sz="700" b="1" i="0" u="none" strike="noStrike" kern="0" cap="none" spc="0" normalizeH="0" baseline="0" noProof="0">
              <a:ln>
                <a:noFill/>
              </a:ln>
              <a:solidFill>
                <a:srgbClr val="FFFFFF"/>
              </a:solidFill>
              <a:effectLst/>
              <a:uLnTx/>
              <a:uFillTx/>
              <a:latin typeface="Aptos Narrow" panose="02110004020202020204"/>
            </a:rPr>
            <a:t>HEATER
OFF/ON</a:t>
          </a:r>
        </a:p>
      </xdr:txBody>
    </xdr:sp>
    <xdr:clientData/>
  </xdr:twoCellAnchor>
  <xdr:twoCellAnchor>
    <xdr:from>
      <xdr:col>4</xdr:col>
      <xdr:colOff>393700</xdr:colOff>
      <xdr:row>224</xdr:row>
      <xdr:rowOff>41275</xdr:rowOff>
    </xdr:from>
    <xdr:to>
      <xdr:col>6</xdr:col>
      <xdr:colOff>396875</xdr:colOff>
      <xdr:row>227</xdr:row>
      <xdr:rowOff>88900</xdr:rowOff>
    </xdr:to>
    <xdr:sp macro="" textlink="">
      <xdr:nvSpPr>
        <xdr:cNvPr id="59" name="Pano2D_PilotLights">
          <a:extLst>
            <a:ext uri="{FF2B5EF4-FFF2-40B4-BE49-F238E27FC236}">
              <a16:creationId xmlns:a16="http://schemas.microsoft.com/office/drawing/2014/main" id="{4FE13B75-443D-4465-A410-641A38485802}"/>
            </a:ext>
          </a:extLst>
        </xdr:cNvPr>
        <xdr:cNvSpPr/>
      </xdr:nvSpPr>
      <xdr:spPr>
        <a:xfrm>
          <a:off x="5727700" y="81356200"/>
          <a:ext cx="2413000" cy="619125"/>
        </a:xfrm>
        <a:prstGeom prst="rect">
          <a:avLst/>
        </a:prstGeom>
        <a:solidFill>
          <a:srgbClr val="E7E6E6"/>
        </a:solidFill>
        <a:ln w="19050" cap="flat" cmpd="sng" algn="ctr">
          <a:solidFill>
            <a:srgbClr val="7F7F7F"/>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0" lang="tr-TR" sz="800" b="1" i="0" u="none" strike="noStrike" kern="0" cap="none" spc="0" normalizeH="0" baseline="0" noProof="0">
              <a:ln>
                <a:noFill/>
              </a:ln>
              <a:solidFill>
                <a:srgbClr val="404040"/>
              </a:solidFill>
              <a:effectLst/>
              <a:uLnTx/>
              <a:uFillTx/>
              <a:latin typeface="Aptos Narrow" panose="02110004020202020204"/>
            </a:rPr>
            <a:t>● POWER     ● RUN     ● FAULT</a:t>
          </a:r>
        </a:p>
      </xdr:txBody>
    </xdr:sp>
    <xdr:clientData/>
  </xdr:twoCellAnchor>
  <xdr:twoCellAnchor>
    <xdr:from>
      <xdr:col>4</xdr:col>
      <xdr:colOff>266700</xdr:colOff>
      <xdr:row>227</xdr:row>
      <xdr:rowOff>127000</xdr:rowOff>
    </xdr:from>
    <xdr:to>
      <xdr:col>6</xdr:col>
      <xdr:colOff>422275</xdr:colOff>
      <xdr:row>229</xdr:row>
      <xdr:rowOff>82550</xdr:rowOff>
    </xdr:to>
    <xdr:sp macro="" textlink="">
      <xdr:nvSpPr>
        <xdr:cNvPr id="60" name="Pano2D_DoorNote">
          <a:extLst>
            <a:ext uri="{FF2B5EF4-FFF2-40B4-BE49-F238E27FC236}">
              <a16:creationId xmlns:a16="http://schemas.microsoft.com/office/drawing/2014/main" id="{A13FCD6B-E173-493B-9AD0-8D892719798B}"/>
            </a:ext>
          </a:extLst>
        </xdr:cNvPr>
        <xdr:cNvSpPr/>
      </xdr:nvSpPr>
      <xdr:spPr>
        <a:xfrm>
          <a:off x="5600700" y="82013425"/>
          <a:ext cx="2565400" cy="336550"/>
        </a:xfrm>
        <a:prstGeom prst="rect">
          <a:avLst/>
        </a:prstGeom>
        <a:solidFill>
          <a:srgbClr val="FFFFFF"/>
        </a:solidFill>
        <a:ln w="19050" cap="flat" cmpd="sng" algn="ctr">
          <a:solidFill>
            <a:srgbClr val="FFFFFF"/>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0" lang="tr-TR" sz="700" b="1" i="0" u="none" strike="noStrike" kern="0" cap="none" spc="0" normalizeH="0" baseline="0" noProof="0">
              <a:ln>
                <a:noFill/>
              </a:ln>
              <a:solidFill>
                <a:srgbClr val="C00000"/>
              </a:solidFill>
              <a:effectLst/>
              <a:uLnTx/>
              <a:uFillTx/>
              <a:latin typeface="Aptos Narrow" panose="02110004020202020204"/>
            </a:rPr>
            <a:t>Kapı arkasında ≥100 mm komponent/terminal boşluğu</a:t>
          </a:r>
        </a:p>
      </xdr:txBody>
    </xdr:sp>
    <xdr:clientData/>
  </xdr:twoCellAnchor>
  <xdr:twoCellAnchor>
    <xdr:from>
      <xdr:col>4</xdr:col>
      <xdr:colOff>38100</xdr:colOff>
      <xdr:row>233</xdr:row>
      <xdr:rowOff>57150</xdr:rowOff>
    </xdr:from>
    <xdr:to>
      <xdr:col>6</xdr:col>
      <xdr:colOff>650875</xdr:colOff>
      <xdr:row>243</xdr:row>
      <xdr:rowOff>38100</xdr:rowOff>
    </xdr:to>
    <xdr:sp macro="" textlink="">
      <xdr:nvSpPr>
        <xdr:cNvPr id="61" name="Pano2D_Legend">
          <a:extLst>
            <a:ext uri="{FF2B5EF4-FFF2-40B4-BE49-F238E27FC236}">
              <a16:creationId xmlns:a16="http://schemas.microsoft.com/office/drawing/2014/main" id="{0782A859-AAE3-4603-97F3-8F21C3A93A2F}"/>
            </a:ext>
          </a:extLst>
        </xdr:cNvPr>
        <xdr:cNvSpPr/>
      </xdr:nvSpPr>
      <xdr:spPr>
        <a:xfrm>
          <a:off x="5372100" y="83086575"/>
          <a:ext cx="3022600" cy="1885950"/>
        </a:xfrm>
        <a:prstGeom prst="rect">
          <a:avLst/>
        </a:prstGeom>
        <a:solidFill>
          <a:srgbClr val="FFFFFF"/>
        </a:solidFill>
        <a:ln w="19050" cap="flat" cmpd="sng" algn="ctr">
          <a:solidFill>
            <a:srgbClr val="7F7F7F"/>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0" lang="tr-TR" sz="800" b="0" i="0" u="none" strike="noStrike" kern="0" cap="none" spc="0" normalizeH="0" baseline="0" noProof="0">
            <a:ln>
              <a:noFill/>
            </a:ln>
            <a:solidFill>
              <a:srgbClr val="000000"/>
            </a:solidFill>
            <a:effectLst/>
            <a:uLnTx/>
            <a:uFillTx/>
            <a:latin typeface="Aptos Narrow" panose="02110004020202020204"/>
          </a:endParaRPr>
        </a:p>
      </xdr:txBody>
    </xdr:sp>
    <xdr:clientData/>
  </xdr:twoCellAnchor>
  <xdr:twoCellAnchor>
    <xdr:from>
      <xdr:col>4</xdr:col>
      <xdr:colOff>139700</xdr:colOff>
      <xdr:row>233</xdr:row>
      <xdr:rowOff>133350</xdr:rowOff>
    </xdr:from>
    <xdr:to>
      <xdr:col>6</xdr:col>
      <xdr:colOff>549275</xdr:colOff>
      <xdr:row>235</xdr:row>
      <xdr:rowOff>38100</xdr:rowOff>
    </xdr:to>
    <xdr:sp macro="" textlink="">
      <xdr:nvSpPr>
        <xdr:cNvPr id="62" name="Pano2D_LegendTitle">
          <a:extLst>
            <a:ext uri="{FF2B5EF4-FFF2-40B4-BE49-F238E27FC236}">
              <a16:creationId xmlns:a16="http://schemas.microsoft.com/office/drawing/2014/main" id="{915B5326-474C-4CA7-B300-F99F62C5D805}"/>
            </a:ext>
          </a:extLst>
        </xdr:cNvPr>
        <xdr:cNvSpPr/>
      </xdr:nvSpPr>
      <xdr:spPr>
        <a:xfrm>
          <a:off x="5473700" y="83162775"/>
          <a:ext cx="2819400" cy="285750"/>
        </a:xfrm>
        <a:prstGeom prst="rect">
          <a:avLst/>
        </a:prstGeom>
        <a:solidFill>
          <a:srgbClr val="FFFFFF"/>
        </a:solidFill>
        <a:ln w="19050" cap="flat" cmpd="sng" algn="ctr">
          <a:solidFill>
            <a:srgbClr val="FFFFFF"/>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0" lang="tr-TR" sz="900" b="1" i="0" u="none" strike="noStrike" kern="0" cap="none" spc="0" normalizeH="0" baseline="0" noProof="0">
              <a:ln>
                <a:noFill/>
              </a:ln>
              <a:solidFill>
                <a:srgbClr val="17365D"/>
              </a:solidFill>
              <a:effectLst/>
              <a:uLnTx/>
              <a:uFillTx/>
              <a:latin typeface="Aptos Narrow" panose="02110004020202020204"/>
            </a:rPr>
            <a:t>RENK / YERLEŞİM AÇIKLAMASI</a:t>
          </a:r>
        </a:p>
      </xdr:txBody>
    </xdr:sp>
    <xdr:clientData/>
  </xdr:twoCellAnchor>
  <xdr:twoCellAnchor>
    <xdr:from>
      <xdr:col>4</xdr:col>
      <xdr:colOff>190500</xdr:colOff>
      <xdr:row>235</xdr:row>
      <xdr:rowOff>127000</xdr:rowOff>
    </xdr:from>
    <xdr:to>
      <xdr:col>4</xdr:col>
      <xdr:colOff>419100</xdr:colOff>
      <xdr:row>236</xdr:row>
      <xdr:rowOff>155575</xdr:rowOff>
    </xdr:to>
    <xdr:sp macro="" textlink="">
      <xdr:nvSpPr>
        <xdr:cNvPr id="63" name="Pano2D_LegSw0">
          <a:extLst>
            <a:ext uri="{FF2B5EF4-FFF2-40B4-BE49-F238E27FC236}">
              <a16:creationId xmlns:a16="http://schemas.microsoft.com/office/drawing/2014/main" id="{5138AA8E-74FE-4304-9377-D80931A0A395}"/>
            </a:ext>
          </a:extLst>
        </xdr:cNvPr>
        <xdr:cNvSpPr/>
      </xdr:nvSpPr>
      <xdr:spPr>
        <a:xfrm>
          <a:off x="5524500" y="83537425"/>
          <a:ext cx="228600" cy="219075"/>
        </a:xfrm>
        <a:prstGeom prst="rect">
          <a:avLst/>
        </a:prstGeom>
        <a:solidFill>
          <a:srgbClr val="FFD966"/>
        </a:solidFill>
        <a:ln w="19050" cap="flat" cmpd="sng" algn="ctr">
          <a:solidFill>
            <a:srgbClr val="7F7F7F"/>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0" lang="tr-TR" sz="800" b="0" i="0" u="none" strike="noStrike" kern="0" cap="none" spc="0" normalizeH="0" baseline="0" noProof="0">
            <a:ln>
              <a:noFill/>
            </a:ln>
            <a:solidFill>
              <a:srgbClr val="000000"/>
            </a:solidFill>
            <a:effectLst/>
            <a:uLnTx/>
            <a:uFillTx/>
            <a:latin typeface="Aptos Narrow" panose="02110004020202020204"/>
          </a:endParaRPr>
        </a:p>
      </xdr:txBody>
    </xdr:sp>
    <xdr:clientData/>
  </xdr:twoCellAnchor>
  <xdr:twoCellAnchor>
    <xdr:from>
      <xdr:col>4</xdr:col>
      <xdr:colOff>457200</xdr:colOff>
      <xdr:row>235</xdr:row>
      <xdr:rowOff>88900</xdr:rowOff>
    </xdr:from>
    <xdr:to>
      <xdr:col>5</xdr:col>
      <xdr:colOff>561975</xdr:colOff>
      <xdr:row>237</xdr:row>
      <xdr:rowOff>19050</xdr:rowOff>
    </xdr:to>
    <xdr:sp macro="" textlink="">
      <xdr:nvSpPr>
        <xdr:cNvPr id="64" name="Pano2D_LegTx0">
          <a:extLst>
            <a:ext uri="{FF2B5EF4-FFF2-40B4-BE49-F238E27FC236}">
              <a16:creationId xmlns:a16="http://schemas.microsoft.com/office/drawing/2014/main" id="{096758D4-A387-4FD6-BF01-AC2F44E6D16E}"/>
            </a:ext>
          </a:extLst>
        </xdr:cNvPr>
        <xdr:cNvSpPr/>
      </xdr:nvSpPr>
      <xdr:spPr>
        <a:xfrm>
          <a:off x="5791200" y="83499325"/>
          <a:ext cx="990600" cy="311150"/>
        </a:xfrm>
        <a:prstGeom prst="rect">
          <a:avLst/>
        </a:prstGeom>
        <a:solidFill>
          <a:srgbClr val="FFFFFF"/>
        </a:solidFill>
        <a:ln w="19050" cap="flat" cmpd="sng" algn="ctr">
          <a:solidFill>
            <a:srgbClr val="FFFFFF"/>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0" lang="tr-TR" sz="700" b="0" i="0" u="none" strike="noStrike" kern="0" cap="none" spc="0" normalizeH="0" baseline="0" noProof="0">
              <a:ln>
                <a:noFill/>
              </a:ln>
              <a:solidFill>
                <a:srgbClr val="404040"/>
              </a:solidFill>
              <a:effectLst/>
              <a:uLnTx/>
              <a:uFillTx/>
              <a:latin typeface="Aptos Narrow" panose="02110004020202020204"/>
            </a:rPr>
            <a:t>UL 489 kesici</a:t>
          </a:r>
        </a:p>
      </xdr:txBody>
    </xdr:sp>
    <xdr:clientData/>
  </xdr:twoCellAnchor>
  <xdr:twoCellAnchor>
    <xdr:from>
      <xdr:col>5</xdr:col>
      <xdr:colOff>727075</xdr:colOff>
      <xdr:row>235</xdr:row>
      <xdr:rowOff>127000</xdr:rowOff>
    </xdr:from>
    <xdr:to>
      <xdr:col>5</xdr:col>
      <xdr:colOff>955675</xdr:colOff>
      <xdr:row>236</xdr:row>
      <xdr:rowOff>155575</xdr:rowOff>
    </xdr:to>
    <xdr:sp macro="" textlink="">
      <xdr:nvSpPr>
        <xdr:cNvPr id="65" name="Pano2D_LegSw1">
          <a:extLst>
            <a:ext uri="{FF2B5EF4-FFF2-40B4-BE49-F238E27FC236}">
              <a16:creationId xmlns:a16="http://schemas.microsoft.com/office/drawing/2014/main" id="{36201841-84BF-47F8-A53D-82A93937E675}"/>
            </a:ext>
          </a:extLst>
        </xdr:cNvPr>
        <xdr:cNvSpPr/>
      </xdr:nvSpPr>
      <xdr:spPr>
        <a:xfrm>
          <a:off x="6946900" y="83537425"/>
          <a:ext cx="228600" cy="219075"/>
        </a:xfrm>
        <a:prstGeom prst="rect">
          <a:avLst/>
        </a:prstGeom>
        <a:solidFill>
          <a:srgbClr val="BDD7EE"/>
        </a:solidFill>
        <a:ln w="19050" cap="flat" cmpd="sng" algn="ctr">
          <a:solidFill>
            <a:srgbClr val="7F7F7F"/>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0" lang="tr-TR" sz="800" b="0" i="0" u="none" strike="noStrike" kern="0" cap="none" spc="0" normalizeH="0" baseline="0" noProof="0">
            <a:ln>
              <a:noFill/>
            </a:ln>
            <a:solidFill>
              <a:srgbClr val="000000"/>
            </a:solidFill>
            <a:effectLst/>
            <a:uLnTx/>
            <a:uFillTx/>
            <a:latin typeface="Aptos Narrow" panose="02110004020202020204"/>
          </a:endParaRPr>
        </a:p>
      </xdr:txBody>
    </xdr:sp>
    <xdr:clientData/>
  </xdr:twoCellAnchor>
  <xdr:twoCellAnchor>
    <xdr:from>
      <xdr:col>5</xdr:col>
      <xdr:colOff>993775</xdr:colOff>
      <xdr:row>235</xdr:row>
      <xdr:rowOff>88900</xdr:rowOff>
    </xdr:from>
    <xdr:to>
      <xdr:col>6</xdr:col>
      <xdr:colOff>460375</xdr:colOff>
      <xdr:row>237</xdr:row>
      <xdr:rowOff>19050</xdr:rowOff>
    </xdr:to>
    <xdr:sp macro="" textlink="">
      <xdr:nvSpPr>
        <xdr:cNvPr id="66" name="Pano2D_LegTx1">
          <a:extLst>
            <a:ext uri="{FF2B5EF4-FFF2-40B4-BE49-F238E27FC236}">
              <a16:creationId xmlns:a16="http://schemas.microsoft.com/office/drawing/2014/main" id="{9AE234DE-4022-4920-B753-952C873CB275}"/>
            </a:ext>
          </a:extLst>
        </xdr:cNvPr>
        <xdr:cNvSpPr/>
      </xdr:nvSpPr>
      <xdr:spPr>
        <a:xfrm>
          <a:off x="7213600" y="83499325"/>
          <a:ext cx="990600" cy="311150"/>
        </a:xfrm>
        <a:prstGeom prst="rect">
          <a:avLst/>
        </a:prstGeom>
        <a:solidFill>
          <a:srgbClr val="FFFFFF"/>
        </a:solidFill>
        <a:ln w="19050" cap="flat" cmpd="sng" algn="ctr">
          <a:solidFill>
            <a:srgbClr val="FFFFFF"/>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0" lang="tr-TR" sz="700" b="0" i="0" u="none" strike="noStrike" kern="0" cap="none" spc="0" normalizeH="0" baseline="0" noProof="0">
              <a:ln>
                <a:noFill/>
              </a:ln>
              <a:solidFill>
                <a:srgbClr val="404040"/>
              </a:solidFill>
              <a:effectLst/>
              <a:uLnTx/>
              <a:uFillTx/>
              <a:latin typeface="Aptos Narrow" panose="02110004020202020204"/>
            </a:rPr>
            <a:t>Motor starter</a:t>
          </a:r>
        </a:p>
      </xdr:txBody>
    </xdr:sp>
    <xdr:clientData/>
  </xdr:twoCellAnchor>
  <xdr:twoCellAnchor>
    <xdr:from>
      <xdr:col>4</xdr:col>
      <xdr:colOff>190500</xdr:colOff>
      <xdr:row>237</xdr:row>
      <xdr:rowOff>146050</xdr:rowOff>
    </xdr:from>
    <xdr:to>
      <xdr:col>4</xdr:col>
      <xdr:colOff>419100</xdr:colOff>
      <xdr:row>239</xdr:row>
      <xdr:rowOff>12700</xdr:rowOff>
    </xdr:to>
    <xdr:sp macro="" textlink="">
      <xdr:nvSpPr>
        <xdr:cNvPr id="67" name="Pano2D_LegSw2">
          <a:extLst>
            <a:ext uri="{FF2B5EF4-FFF2-40B4-BE49-F238E27FC236}">
              <a16:creationId xmlns:a16="http://schemas.microsoft.com/office/drawing/2014/main" id="{84D3BCD5-721E-4A7B-ACD5-8D99D6110BFD}"/>
            </a:ext>
          </a:extLst>
        </xdr:cNvPr>
        <xdr:cNvSpPr/>
      </xdr:nvSpPr>
      <xdr:spPr>
        <a:xfrm>
          <a:off x="5524500" y="83937475"/>
          <a:ext cx="228600" cy="247650"/>
        </a:xfrm>
        <a:prstGeom prst="rect">
          <a:avLst/>
        </a:prstGeom>
        <a:solidFill>
          <a:srgbClr val="F4CCCC"/>
        </a:solidFill>
        <a:ln w="19050" cap="flat" cmpd="sng" algn="ctr">
          <a:solidFill>
            <a:srgbClr val="7F7F7F"/>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0" lang="tr-TR" sz="800" b="0" i="0" u="none" strike="noStrike" kern="0" cap="none" spc="0" normalizeH="0" baseline="0" noProof="0">
            <a:ln>
              <a:noFill/>
            </a:ln>
            <a:solidFill>
              <a:srgbClr val="000000"/>
            </a:solidFill>
            <a:effectLst/>
            <a:uLnTx/>
            <a:uFillTx/>
            <a:latin typeface="Aptos Narrow" panose="02110004020202020204"/>
          </a:endParaRPr>
        </a:p>
      </xdr:txBody>
    </xdr:sp>
    <xdr:clientData/>
  </xdr:twoCellAnchor>
  <xdr:twoCellAnchor>
    <xdr:from>
      <xdr:col>4</xdr:col>
      <xdr:colOff>457200</xdr:colOff>
      <xdr:row>237</xdr:row>
      <xdr:rowOff>107950</xdr:rowOff>
    </xdr:from>
    <xdr:to>
      <xdr:col>5</xdr:col>
      <xdr:colOff>561975</xdr:colOff>
      <xdr:row>239</xdr:row>
      <xdr:rowOff>38100</xdr:rowOff>
    </xdr:to>
    <xdr:sp macro="" textlink="">
      <xdr:nvSpPr>
        <xdr:cNvPr id="68" name="Pano2D_LegTx2">
          <a:extLst>
            <a:ext uri="{FF2B5EF4-FFF2-40B4-BE49-F238E27FC236}">
              <a16:creationId xmlns:a16="http://schemas.microsoft.com/office/drawing/2014/main" id="{5AE5B6A5-5D2E-40F5-935A-7EDE68683495}"/>
            </a:ext>
          </a:extLst>
        </xdr:cNvPr>
        <xdr:cNvSpPr/>
      </xdr:nvSpPr>
      <xdr:spPr>
        <a:xfrm>
          <a:off x="5791200" y="83899375"/>
          <a:ext cx="990600" cy="311150"/>
        </a:xfrm>
        <a:prstGeom prst="rect">
          <a:avLst/>
        </a:prstGeom>
        <a:solidFill>
          <a:srgbClr val="FFFFFF"/>
        </a:solidFill>
        <a:ln w="19050" cap="flat" cmpd="sng" algn="ctr">
          <a:solidFill>
            <a:srgbClr val="FFFFFF"/>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0" lang="tr-TR" sz="700" b="0" i="0" u="none" strike="noStrike" kern="0" cap="none" spc="0" normalizeH="0" baseline="0" noProof="0">
              <a:ln>
                <a:noFill/>
              </a:ln>
              <a:solidFill>
                <a:srgbClr val="404040"/>
              </a:solidFill>
              <a:effectLst/>
              <a:uLnTx/>
              <a:uFillTx/>
              <a:latin typeface="Aptos Narrow" panose="02110004020202020204"/>
            </a:rPr>
            <a:t>Safety devresi</a:t>
          </a:r>
        </a:p>
      </xdr:txBody>
    </xdr:sp>
    <xdr:clientData/>
  </xdr:twoCellAnchor>
  <xdr:twoCellAnchor>
    <xdr:from>
      <xdr:col>5</xdr:col>
      <xdr:colOff>727075</xdr:colOff>
      <xdr:row>237</xdr:row>
      <xdr:rowOff>146050</xdr:rowOff>
    </xdr:from>
    <xdr:to>
      <xdr:col>5</xdr:col>
      <xdr:colOff>955675</xdr:colOff>
      <xdr:row>239</xdr:row>
      <xdr:rowOff>12700</xdr:rowOff>
    </xdr:to>
    <xdr:sp macro="" textlink="">
      <xdr:nvSpPr>
        <xdr:cNvPr id="69" name="Pano2D_LegSw3">
          <a:extLst>
            <a:ext uri="{FF2B5EF4-FFF2-40B4-BE49-F238E27FC236}">
              <a16:creationId xmlns:a16="http://schemas.microsoft.com/office/drawing/2014/main" id="{BD7B53D9-8A7B-453F-82CE-647DA3A5BCA0}"/>
            </a:ext>
          </a:extLst>
        </xdr:cNvPr>
        <xdr:cNvSpPr/>
      </xdr:nvSpPr>
      <xdr:spPr>
        <a:xfrm>
          <a:off x="6946900" y="83937475"/>
          <a:ext cx="228600" cy="247650"/>
        </a:xfrm>
        <a:prstGeom prst="rect">
          <a:avLst/>
        </a:prstGeom>
        <a:solidFill>
          <a:srgbClr val="C6E0B4"/>
        </a:solidFill>
        <a:ln w="19050" cap="flat" cmpd="sng" algn="ctr">
          <a:solidFill>
            <a:srgbClr val="7F7F7F"/>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0" lang="tr-TR" sz="800" b="0" i="0" u="none" strike="noStrike" kern="0" cap="none" spc="0" normalizeH="0" baseline="0" noProof="0">
            <a:ln>
              <a:noFill/>
            </a:ln>
            <a:solidFill>
              <a:srgbClr val="000000"/>
            </a:solidFill>
            <a:effectLst/>
            <a:uLnTx/>
            <a:uFillTx/>
            <a:latin typeface="Aptos Narrow" panose="02110004020202020204"/>
          </a:endParaRPr>
        </a:p>
      </xdr:txBody>
    </xdr:sp>
    <xdr:clientData/>
  </xdr:twoCellAnchor>
  <xdr:twoCellAnchor>
    <xdr:from>
      <xdr:col>5</xdr:col>
      <xdr:colOff>993775</xdr:colOff>
      <xdr:row>237</xdr:row>
      <xdr:rowOff>107950</xdr:rowOff>
    </xdr:from>
    <xdr:to>
      <xdr:col>6</xdr:col>
      <xdr:colOff>460375</xdr:colOff>
      <xdr:row>239</xdr:row>
      <xdr:rowOff>38100</xdr:rowOff>
    </xdr:to>
    <xdr:sp macro="" textlink="">
      <xdr:nvSpPr>
        <xdr:cNvPr id="70" name="Pano2D_LegTx3">
          <a:extLst>
            <a:ext uri="{FF2B5EF4-FFF2-40B4-BE49-F238E27FC236}">
              <a16:creationId xmlns:a16="http://schemas.microsoft.com/office/drawing/2014/main" id="{0E5EAA87-0C14-4574-8B80-FD1A5E785AC6}"/>
            </a:ext>
          </a:extLst>
        </xdr:cNvPr>
        <xdr:cNvSpPr/>
      </xdr:nvSpPr>
      <xdr:spPr>
        <a:xfrm>
          <a:off x="7213600" y="83899375"/>
          <a:ext cx="990600" cy="311150"/>
        </a:xfrm>
        <a:prstGeom prst="rect">
          <a:avLst/>
        </a:prstGeom>
        <a:solidFill>
          <a:srgbClr val="FFFFFF"/>
        </a:solidFill>
        <a:ln w="19050" cap="flat" cmpd="sng" algn="ctr">
          <a:solidFill>
            <a:srgbClr val="FFFFFF"/>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0" lang="tr-TR" sz="700" b="0" i="0" u="none" strike="noStrike" kern="0" cap="none" spc="0" normalizeH="0" baseline="0" noProof="0">
              <a:ln>
                <a:noFill/>
              </a:ln>
              <a:solidFill>
                <a:srgbClr val="404040"/>
              </a:solidFill>
              <a:effectLst/>
              <a:uLnTx/>
              <a:uFillTx/>
              <a:latin typeface="Aptos Narrow" panose="02110004020202020204"/>
            </a:rPr>
            <a:t>24 VDC/kontrol</a:t>
          </a:r>
        </a:p>
      </xdr:txBody>
    </xdr:sp>
    <xdr:clientData/>
  </xdr:twoCellAnchor>
  <xdr:twoCellAnchor>
    <xdr:from>
      <xdr:col>4</xdr:col>
      <xdr:colOff>190500</xdr:colOff>
      <xdr:row>240</xdr:row>
      <xdr:rowOff>3175</xdr:rowOff>
    </xdr:from>
    <xdr:to>
      <xdr:col>4</xdr:col>
      <xdr:colOff>419100</xdr:colOff>
      <xdr:row>241</xdr:row>
      <xdr:rowOff>31750</xdr:rowOff>
    </xdr:to>
    <xdr:sp macro="" textlink="">
      <xdr:nvSpPr>
        <xdr:cNvPr id="71" name="Pano2D_LegSw4">
          <a:extLst>
            <a:ext uri="{FF2B5EF4-FFF2-40B4-BE49-F238E27FC236}">
              <a16:creationId xmlns:a16="http://schemas.microsoft.com/office/drawing/2014/main" id="{B11F31F3-2EF9-40BB-B74F-CAD2998E6754}"/>
            </a:ext>
          </a:extLst>
        </xdr:cNvPr>
        <xdr:cNvSpPr/>
      </xdr:nvSpPr>
      <xdr:spPr>
        <a:xfrm>
          <a:off x="5524500" y="84366100"/>
          <a:ext cx="228600" cy="219075"/>
        </a:xfrm>
        <a:prstGeom prst="rect">
          <a:avLst/>
        </a:prstGeom>
        <a:solidFill>
          <a:srgbClr val="E7E6E6"/>
        </a:solidFill>
        <a:ln w="19050" cap="flat" cmpd="sng" algn="ctr">
          <a:solidFill>
            <a:srgbClr val="7F7F7F"/>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0" lang="tr-TR" sz="800" b="0" i="0" u="none" strike="noStrike" kern="0" cap="none" spc="0" normalizeH="0" baseline="0" noProof="0">
            <a:ln>
              <a:noFill/>
            </a:ln>
            <a:solidFill>
              <a:srgbClr val="000000"/>
            </a:solidFill>
            <a:effectLst/>
            <a:uLnTx/>
            <a:uFillTx/>
            <a:latin typeface="Aptos Narrow" panose="02110004020202020204"/>
          </a:endParaRPr>
        </a:p>
      </xdr:txBody>
    </xdr:sp>
    <xdr:clientData/>
  </xdr:twoCellAnchor>
  <xdr:twoCellAnchor>
    <xdr:from>
      <xdr:col>4</xdr:col>
      <xdr:colOff>457200</xdr:colOff>
      <xdr:row>239</xdr:row>
      <xdr:rowOff>127000</xdr:rowOff>
    </xdr:from>
    <xdr:to>
      <xdr:col>5</xdr:col>
      <xdr:colOff>561975</xdr:colOff>
      <xdr:row>241</xdr:row>
      <xdr:rowOff>57150</xdr:rowOff>
    </xdr:to>
    <xdr:sp macro="" textlink="">
      <xdr:nvSpPr>
        <xdr:cNvPr id="72" name="Pano2D_LegTx4">
          <a:extLst>
            <a:ext uri="{FF2B5EF4-FFF2-40B4-BE49-F238E27FC236}">
              <a16:creationId xmlns:a16="http://schemas.microsoft.com/office/drawing/2014/main" id="{F400EC51-F529-431A-B949-1AF1C1EF671E}"/>
            </a:ext>
          </a:extLst>
        </xdr:cNvPr>
        <xdr:cNvSpPr/>
      </xdr:nvSpPr>
      <xdr:spPr>
        <a:xfrm>
          <a:off x="5791200" y="84299425"/>
          <a:ext cx="990600" cy="311150"/>
        </a:xfrm>
        <a:prstGeom prst="rect">
          <a:avLst/>
        </a:prstGeom>
        <a:solidFill>
          <a:srgbClr val="FFFFFF"/>
        </a:solidFill>
        <a:ln w="19050" cap="flat" cmpd="sng" algn="ctr">
          <a:solidFill>
            <a:srgbClr val="FFFFFF"/>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0" lang="tr-TR" sz="700" b="0" i="0" u="none" strike="noStrike" kern="0" cap="none" spc="0" normalizeH="0" baseline="0" noProof="0">
              <a:ln>
                <a:noFill/>
              </a:ln>
              <a:solidFill>
                <a:srgbClr val="404040"/>
              </a:solidFill>
              <a:effectLst/>
              <a:uLnTx/>
              <a:uFillTx/>
              <a:latin typeface="Aptos Narrow" panose="02110004020202020204"/>
            </a:rPr>
            <a:t>Terminaller</a:t>
          </a:r>
        </a:p>
      </xdr:txBody>
    </xdr:sp>
    <xdr:clientData/>
  </xdr:twoCellAnchor>
  <xdr:twoCellAnchor>
    <xdr:from>
      <xdr:col>5</xdr:col>
      <xdr:colOff>727075</xdr:colOff>
      <xdr:row>240</xdr:row>
      <xdr:rowOff>3175</xdr:rowOff>
    </xdr:from>
    <xdr:to>
      <xdr:col>5</xdr:col>
      <xdr:colOff>955675</xdr:colOff>
      <xdr:row>241</xdr:row>
      <xdr:rowOff>31750</xdr:rowOff>
    </xdr:to>
    <xdr:sp macro="" textlink="">
      <xdr:nvSpPr>
        <xdr:cNvPr id="73" name="Pano2D_LegSw5">
          <a:extLst>
            <a:ext uri="{FF2B5EF4-FFF2-40B4-BE49-F238E27FC236}">
              <a16:creationId xmlns:a16="http://schemas.microsoft.com/office/drawing/2014/main" id="{A8F9A22F-AAE1-438C-A152-FD87C1AB599D}"/>
            </a:ext>
          </a:extLst>
        </xdr:cNvPr>
        <xdr:cNvSpPr/>
      </xdr:nvSpPr>
      <xdr:spPr>
        <a:xfrm>
          <a:off x="6946900" y="84366100"/>
          <a:ext cx="228600" cy="219075"/>
        </a:xfrm>
        <a:prstGeom prst="rect">
          <a:avLst/>
        </a:prstGeom>
        <a:solidFill>
          <a:srgbClr val="BFBFBF"/>
        </a:solidFill>
        <a:ln w="19050" cap="flat" cmpd="sng" algn="ctr">
          <a:solidFill>
            <a:srgbClr val="7F7F7F"/>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0" lang="tr-TR" sz="800" b="0" i="0" u="none" strike="noStrike" kern="0" cap="none" spc="0" normalizeH="0" baseline="0" noProof="0">
            <a:ln>
              <a:noFill/>
            </a:ln>
            <a:solidFill>
              <a:srgbClr val="000000"/>
            </a:solidFill>
            <a:effectLst/>
            <a:uLnTx/>
            <a:uFillTx/>
            <a:latin typeface="Aptos Narrow" panose="02110004020202020204"/>
          </a:endParaRPr>
        </a:p>
      </xdr:txBody>
    </xdr:sp>
    <xdr:clientData/>
  </xdr:twoCellAnchor>
  <xdr:twoCellAnchor>
    <xdr:from>
      <xdr:col>5</xdr:col>
      <xdr:colOff>993775</xdr:colOff>
      <xdr:row>239</xdr:row>
      <xdr:rowOff>127000</xdr:rowOff>
    </xdr:from>
    <xdr:to>
      <xdr:col>6</xdr:col>
      <xdr:colOff>460375</xdr:colOff>
      <xdr:row>241</xdr:row>
      <xdr:rowOff>57150</xdr:rowOff>
    </xdr:to>
    <xdr:sp macro="" textlink="">
      <xdr:nvSpPr>
        <xdr:cNvPr id="74" name="Pano2D_LegTx5">
          <a:extLst>
            <a:ext uri="{FF2B5EF4-FFF2-40B4-BE49-F238E27FC236}">
              <a16:creationId xmlns:a16="http://schemas.microsoft.com/office/drawing/2014/main" id="{8666278E-EDA2-4E6C-A36C-C7B63943DA97}"/>
            </a:ext>
          </a:extLst>
        </xdr:cNvPr>
        <xdr:cNvSpPr/>
      </xdr:nvSpPr>
      <xdr:spPr>
        <a:xfrm>
          <a:off x="7213600" y="84299425"/>
          <a:ext cx="990600" cy="311150"/>
        </a:xfrm>
        <a:prstGeom prst="rect">
          <a:avLst/>
        </a:prstGeom>
        <a:solidFill>
          <a:srgbClr val="FFFFFF"/>
        </a:solidFill>
        <a:ln w="19050" cap="flat" cmpd="sng" algn="ctr">
          <a:solidFill>
            <a:srgbClr val="FFFFFF"/>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0" lang="tr-TR" sz="700" b="0" i="0" u="none" strike="noStrike" kern="0" cap="none" spc="0" normalizeH="0" baseline="0" noProof="0">
              <a:ln>
                <a:noFill/>
              </a:ln>
              <a:solidFill>
                <a:srgbClr val="404040"/>
              </a:solidFill>
              <a:effectLst/>
              <a:uLnTx/>
              <a:uFillTx/>
              <a:latin typeface="Aptos Narrow" panose="02110004020202020204"/>
            </a:rPr>
            <a:t>Kablo kanalı</a:t>
          </a:r>
        </a:p>
      </xdr:txBody>
    </xdr:sp>
    <xdr:clientData/>
  </xdr:twoCellAnchor>
  <xdr:twoCellAnchor>
    <xdr:from>
      <xdr:col>4</xdr:col>
      <xdr:colOff>165100</xdr:colOff>
      <xdr:row>241</xdr:row>
      <xdr:rowOff>133350</xdr:rowOff>
    </xdr:from>
    <xdr:to>
      <xdr:col>6</xdr:col>
      <xdr:colOff>523875</xdr:colOff>
      <xdr:row>243</xdr:row>
      <xdr:rowOff>0</xdr:rowOff>
    </xdr:to>
    <xdr:sp macro="" textlink="">
      <xdr:nvSpPr>
        <xdr:cNvPr id="75" name="Pano2D_Fill">
          <a:extLst>
            <a:ext uri="{FF2B5EF4-FFF2-40B4-BE49-F238E27FC236}">
              <a16:creationId xmlns:a16="http://schemas.microsoft.com/office/drawing/2014/main" id="{A1B22657-4F0C-4535-8479-BCA9ECAE14B9}"/>
            </a:ext>
          </a:extLst>
        </xdr:cNvPr>
        <xdr:cNvSpPr/>
      </xdr:nvSpPr>
      <xdr:spPr>
        <a:xfrm>
          <a:off x="5499100" y="84686775"/>
          <a:ext cx="2768600" cy="247650"/>
        </a:xfrm>
        <a:prstGeom prst="rect">
          <a:avLst/>
        </a:prstGeom>
        <a:solidFill>
          <a:srgbClr val="FFFFFF"/>
        </a:solidFill>
        <a:ln w="19050" cap="flat" cmpd="sng" algn="ctr">
          <a:solidFill>
            <a:srgbClr val="FFFFFF"/>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0" lang="tr-TR" sz="800" b="1" i="0" u="none" strike="noStrike" kern="0" cap="none" spc="0" normalizeH="0" baseline="0" noProof="0">
              <a:ln>
                <a:noFill/>
              </a:ln>
              <a:solidFill>
                <a:srgbClr val="C00000"/>
              </a:solidFill>
              <a:effectLst/>
              <a:uLnTx/>
              <a:uFillTx/>
              <a:latin typeface="Aptos Narrow" panose="02110004020202020204"/>
            </a:rPr>
            <a:t>Tahmini doluluk ≈ %80 • SINIRDA</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hyperlink" Target="https://www.meanwell.com/Upload/PDF/MDR-20/MDR-20-SPEC.PDF" TargetMode="External"/><Relationship Id="rId13" Type="http://schemas.openxmlformats.org/officeDocument/2006/relationships/hyperlink" Target="https://www.emaselectric.com/Export/Datasheet?productCode=B100SL20Y&amp;languageCode=en" TargetMode="External"/><Relationship Id="rId18" Type="http://schemas.openxmlformats.org/officeDocument/2006/relationships/hyperlink" Target="https://www.se.com/fr/fr/product/LR2K0305/" TargetMode="External"/><Relationship Id="rId26" Type="http://schemas.openxmlformats.org/officeDocument/2006/relationships/hyperlink" Target="https://www.se.com/uk/en/product/RXZE2M114M/" TargetMode="External"/><Relationship Id="rId3" Type="http://schemas.openxmlformats.org/officeDocument/2006/relationships/hyperlink" Target="https://new.abb.com/products/2CDS273337R0517/su203m-k25" TargetMode="External"/><Relationship Id="rId21" Type="http://schemas.openxmlformats.org/officeDocument/2006/relationships/hyperlink" Target="https://www.se.com/us/en/product/XB5AVM1/" TargetMode="External"/><Relationship Id="rId7" Type="http://schemas.openxmlformats.org/officeDocument/2006/relationships/hyperlink" Target="https://www.se.com/fr/fr/product/RM35TF30/" TargetMode="External"/><Relationship Id="rId12" Type="http://schemas.openxmlformats.org/officeDocument/2006/relationships/hyperlink" Target="https://www.se.com/fr/fr/product/RE17RMMW/" TargetMode="External"/><Relationship Id="rId17" Type="http://schemas.openxmlformats.org/officeDocument/2006/relationships/hyperlink" Target="https://www.emaselectric.com/products/a--control-units-and-pilot-lights/yedek--spare-part/b1--spare-part-1no-contact-block" TargetMode="External"/><Relationship Id="rId25" Type="http://schemas.openxmlformats.org/officeDocument/2006/relationships/hyperlink" Target="https://www.emaselectric.com/products/a--control-units-and-pilot-lights/yedek--spare-part/b1--spare-part-1no-contact-block" TargetMode="External"/><Relationship Id="rId2" Type="http://schemas.openxmlformats.org/officeDocument/2006/relationships/hyperlink" Target="https://www.se.com/fr/fr/product/RXM4AB1P7/" TargetMode="External"/><Relationship Id="rId16" Type="http://schemas.openxmlformats.org/officeDocument/2006/relationships/hyperlink" Target="https://www.emaselectric.com/products/a--control-units-and-pilot-lights/yedek--spare-part/b2--spare-part-1nc-contact-block" TargetMode="External"/><Relationship Id="rId20" Type="http://schemas.openxmlformats.org/officeDocument/2006/relationships/hyperlink" Target="https://www.emaselectric.com/Export/Datasheet?productCode=B100S20&amp;languageCode=en" TargetMode="External"/><Relationship Id="rId29" Type="http://schemas.openxmlformats.org/officeDocument/2006/relationships/hyperlink" Target="https://www.se.com/fr/fr/product/LC1K0910M7/" TargetMode="External"/><Relationship Id="rId1" Type="http://schemas.openxmlformats.org/officeDocument/2006/relationships/hyperlink" Target="https://www.mouser.fr/ProductDetail/ABB/SU201M-K3" TargetMode="External"/><Relationship Id="rId6" Type="http://schemas.openxmlformats.org/officeDocument/2006/relationships/hyperlink" Target="https://www.emaselectric.com/Export/Datasheet?productCode=B102K20KY&amp;languageCode=en" TargetMode="External"/><Relationship Id="rId11" Type="http://schemas.openxmlformats.org/officeDocument/2006/relationships/hyperlink" Target="https://www.autonics-tw.com/upload/files/UL%20Certificate%20of%20Compliance_TCN4.pdf" TargetMode="External"/><Relationship Id="rId24" Type="http://schemas.openxmlformats.org/officeDocument/2006/relationships/hyperlink" Target="https://www.emaselectric.com/products/a--control-units-and-pilot-lights/yedek--spare-part/b2--spare-part-1nc-contact-block" TargetMode="External"/><Relationship Id="rId5" Type="http://schemas.openxmlformats.org/officeDocument/2006/relationships/hyperlink" Target="https://www.se.com/fr/fr/product/V0/" TargetMode="External"/><Relationship Id="rId15" Type="http://schemas.openxmlformats.org/officeDocument/2006/relationships/hyperlink" Target="https://www.se.com/us/en/product/XB5AVM4/" TargetMode="External"/><Relationship Id="rId23" Type="http://schemas.openxmlformats.org/officeDocument/2006/relationships/hyperlink" Target="https://www.se.com/fr/fr/product/RSB2A080BD/" TargetMode="External"/><Relationship Id="rId28" Type="http://schemas.openxmlformats.org/officeDocument/2006/relationships/hyperlink" Target="https://www.se.com/fr/fr/product/LR2K0305/" TargetMode="External"/><Relationship Id="rId10" Type="http://schemas.openxmlformats.org/officeDocument/2006/relationships/hyperlink" Target="https://www.emaselectric.com/products/a--control-units-and-pilot-lights/b--series-plastic/b200ee--b-series-plastic-1nc-emergency-40-mm-turn-to-release-with-label-red-22-mm-control-unit" TargetMode="External"/><Relationship Id="rId19" Type="http://schemas.openxmlformats.org/officeDocument/2006/relationships/hyperlink" Target="https://www.se.com/uk/en/product/LC1K0610M7/" TargetMode="External"/><Relationship Id="rId4" Type="http://schemas.openxmlformats.org/officeDocument/2006/relationships/hyperlink" Target="https://www.ul.com/services/gfci-personal-protection-devices-testing-and-certification" TargetMode="External"/><Relationship Id="rId9" Type="http://schemas.openxmlformats.org/officeDocument/2006/relationships/hyperlink" Target="https://www.emaselectric.com/products/a--control-units-and-pilot-lights/b--b-series-plastic/b100db--b-series-plastic-1no-spring-flush-white-22-mm-control-unit" TargetMode="External"/><Relationship Id="rId14" Type="http://schemas.openxmlformats.org/officeDocument/2006/relationships/hyperlink" Target="https://www.emaselectric.com/products/a--control-units-and-pilot-lights/b--b-series-plastic/b100dm--b-series-plastic-1no-spring-flush-blue-22-mm-control-unit" TargetMode="External"/><Relationship Id="rId22" Type="http://schemas.openxmlformats.org/officeDocument/2006/relationships/hyperlink" Target="https://www.emaselectric.com/products/a--control-units-and-pilot-lights/yedek--spare-part/b1--spare-part-1no-contact-block" TargetMode="External"/><Relationship Id="rId27" Type="http://schemas.openxmlformats.org/officeDocument/2006/relationships/hyperlink" Target="https://www.se.com/fr/fr/product/RXM4AB1B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58"/>
  <sheetViews>
    <sheetView topLeftCell="A339" workbookViewId="0">
      <selection activeCell="F20" sqref="F20"/>
    </sheetView>
  </sheetViews>
  <sheetFormatPr defaultRowHeight="15" x14ac:dyDescent="0.25"/>
  <cols>
    <col min="1" max="1" width="8.42578125" customWidth="1"/>
    <col min="2" max="2" width="26.7109375" customWidth="1"/>
    <col min="3" max="3" width="15.28515625" customWidth="1"/>
    <col min="4" max="4" width="29.5703125" customWidth="1"/>
    <col min="5" max="5" width="13.28515625" customWidth="1"/>
    <col min="6" max="6" width="22.85546875" customWidth="1"/>
    <col min="7" max="7" width="16.42578125" customWidth="1"/>
    <col min="8" max="8" width="38.140625" customWidth="1"/>
  </cols>
  <sheetData>
    <row r="1" spans="1:8" ht="32.1" customHeight="1" x14ac:dyDescent="0.35">
      <c r="A1" s="116" t="s">
        <v>0</v>
      </c>
      <c r="B1" s="116"/>
      <c r="C1" s="116"/>
      <c r="D1" s="116"/>
      <c r="E1" s="116"/>
      <c r="F1" s="116"/>
      <c r="G1" s="116"/>
      <c r="H1" s="116"/>
    </row>
    <row r="2" spans="1:8" ht="24" customHeight="1" x14ac:dyDescent="0.25">
      <c r="A2" s="106" t="s">
        <v>1</v>
      </c>
      <c r="B2" s="106"/>
      <c r="C2" s="106"/>
      <c r="D2" s="106"/>
      <c r="E2" s="106"/>
      <c r="F2" s="106"/>
      <c r="G2" s="106"/>
      <c r="H2" s="106"/>
    </row>
    <row r="4" spans="1:8" ht="21" customHeight="1" x14ac:dyDescent="0.25">
      <c r="A4" s="114" t="s">
        <v>2</v>
      </c>
      <c r="B4" s="114"/>
      <c r="C4" s="114"/>
      <c r="D4" s="114"/>
      <c r="E4" s="114"/>
      <c r="F4" s="114"/>
      <c r="G4" s="114"/>
      <c r="H4" s="114"/>
    </row>
    <row r="5" spans="1:8" ht="30" customHeight="1" x14ac:dyDescent="0.25">
      <c r="A5" s="84" t="s">
        <v>3</v>
      </c>
      <c r="B5" s="84"/>
      <c r="C5" s="84"/>
      <c r="D5" s="84"/>
      <c r="E5" s="84"/>
      <c r="F5" s="84"/>
      <c r="G5" s="84"/>
      <c r="H5" s="84"/>
    </row>
    <row r="6" spans="1:8" ht="30" customHeight="1" x14ac:dyDescent="0.25">
      <c r="A6" s="84"/>
      <c r="B6" s="84"/>
      <c r="C6" s="84"/>
      <c r="D6" s="84"/>
      <c r="E6" s="84"/>
      <c r="F6" s="84"/>
      <c r="G6" s="84"/>
      <c r="H6" s="84"/>
    </row>
    <row r="7" spans="1:8" ht="30" customHeight="1" x14ac:dyDescent="0.25">
      <c r="A7" s="84"/>
      <c r="B7" s="84"/>
      <c r="C7" s="84"/>
      <c r="D7" s="84"/>
      <c r="E7" s="84"/>
      <c r="F7" s="84"/>
      <c r="G7" s="84"/>
      <c r="H7" s="84"/>
    </row>
    <row r="9" spans="1:8" ht="21" customHeight="1" x14ac:dyDescent="0.25">
      <c r="A9" s="114" t="s">
        <v>4</v>
      </c>
      <c r="B9" s="114"/>
      <c r="C9" s="114"/>
      <c r="D9" s="114"/>
      <c r="E9" s="114"/>
      <c r="F9" s="114"/>
      <c r="G9" s="114"/>
      <c r="H9" s="114"/>
    </row>
    <row r="10" spans="1:8" ht="30" customHeight="1" x14ac:dyDescent="0.25">
      <c r="A10" s="2" t="s">
        <v>5</v>
      </c>
      <c r="B10" s="3" t="s">
        <v>6</v>
      </c>
      <c r="C10" s="4" t="s">
        <v>7</v>
      </c>
      <c r="D10" s="4" t="s">
        <v>8</v>
      </c>
      <c r="E10" s="4" t="s">
        <v>9</v>
      </c>
      <c r="F10" s="3" t="s">
        <v>6</v>
      </c>
      <c r="G10" s="4" t="s">
        <v>7</v>
      </c>
      <c r="H10" s="5" t="s">
        <v>10</v>
      </c>
    </row>
    <row r="11" spans="1:8" ht="60" x14ac:dyDescent="0.25">
      <c r="A11" s="6" t="s">
        <v>11</v>
      </c>
      <c r="B11" s="7">
        <v>480</v>
      </c>
      <c r="C11" s="8" t="s">
        <v>12</v>
      </c>
      <c r="D11" s="8" t="s">
        <v>13</v>
      </c>
      <c r="E11" s="8" t="s">
        <v>14</v>
      </c>
      <c r="F11" s="7">
        <v>3.7</v>
      </c>
      <c r="G11" s="8" t="s">
        <v>15</v>
      </c>
      <c r="H11" s="9" t="s">
        <v>16</v>
      </c>
    </row>
    <row r="12" spans="1:8" ht="30" x14ac:dyDescent="0.25">
      <c r="A12" s="6" t="s">
        <v>17</v>
      </c>
      <c r="B12" s="10">
        <v>21976</v>
      </c>
      <c r="C12" s="8" t="s">
        <v>18</v>
      </c>
      <c r="D12" s="8" t="s">
        <v>19</v>
      </c>
      <c r="E12" s="8" t="s">
        <v>20</v>
      </c>
      <c r="F12" s="7" t="s">
        <v>21</v>
      </c>
      <c r="G12" s="8" t="s">
        <v>22</v>
      </c>
      <c r="H12" s="9" t="s">
        <v>23</v>
      </c>
    </row>
    <row r="13" spans="1:8" ht="45" x14ac:dyDescent="0.25">
      <c r="A13" s="6" t="s">
        <v>24</v>
      </c>
      <c r="B13" s="7">
        <v>24</v>
      </c>
      <c r="C13" s="8" t="s">
        <v>25</v>
      </c>
      <c r="D13" s="8" t="s">
        <v>26</v>
      </c>
      <c r="E13" s="8" t="s">
        <v>27</v>
      </c>
      <c r="F13" s="7" t="s">
        <v>28</v>
      </c>
      <c r="G13" s="8" t="s">
        <v>22</v>
      </c>
      <c r="H13" s="9" t="s">
        <v>23</v>
      </c>
    </row>
    <row r="14" spans="1:8" ht="45" x14ac:dyDescent="0.25">
      <c r="A14" s="6" t="s">
        <v>29</v>
      </c>
      <c r="B14" s="7" t="s">
        <v>30</v>
      </c>
      <c r="C14" s="8" t="s">
        <v>31</v>
      </c>
      <c r="D14" s="8" t="s">
        <v>32</v>
      </c>
      <c r="E14" s="8" t="s">
        <v>33</v>
      </c>
      <c r="F14" s="7" t="s">
        <v>34</v>
      </c>
      <c r="G14" s="8" t="s">
        <v>22</v>
      </c>
      <c r="H14" s="9" t="s">
        <v>35</v>
      </c>
    </row>
    <row r="15" spans="1:8" ht="30" x14ac:dyDescent="0.25">
      <c r="A15" s="11" t="s">
        <v>36</v>
      </c>
      <c r="B15" s="12" t="s">
        <v>37</v>
      </c>
      <c r="C15" s="13" t="s">
        <v>22</v>
      </c>
      <c r="D15" s="13" t="s">
        <v>38</v>
      </c>
      <c r="E15" s="13" t="s">
        <v>39</v>
      </c>
      <c r="F15" s="12" t="s">
        <v>40</v>
      </c>
      <c r="G15" s="13" t="s">
        <v>41</v>
      </c>
      <c r="H15" s="14" t="s">
        <v>42</v>
      </c>
    </row>
    <row r="16" spans="1:8" ht="21" customHeight="1" x14ac:dyDescent="0.25">
      <c r="A16" s="114" t="s">
        <v>43</v>
      </c>
      <c r="B16" s="114"/>
      <c r="C16" s="114"/>
      <c r="D16" s="114"/>
      <c r="E16" s="114"/>
      <c r="F16" s="114"/>
      <c r="G16" s="114"/>
      <c r="H16" s="114"/>
    </row>
    <row r="17" spans="1:8" ht="30" customHeight="1" x14ac:dyDescent="0.25">
      <c r="A17" s="2" t="s">
        <v>44</v>
      </c>
      <c r="B17" s="4" t="s">
        <v>45</v>
      </c>
      <c r="C17" s="4" t="s">
        <v>46</v>
      </c>
      <c r="D17" s="4" t="s">
        <v>47</v>
      </c>
      <c r="E17" s="4" t="s">
        <v>48</v>
      </c>
      <c r="F17" s="4" t="s">
        <v>49</v>
      </c>
      <c r="G17" s="4" t="s">
        <v>50</v>
      </c>
      <c r="H17" s="5" t="s">
        <v>51</v>
      </c>
    </row>
    <row r="18" spans="1:8" ht="45" x14ac:dyDescent="0.25">
      <c r="A18" s="6">
        <v>1</v>
      </c>
      <c r="B18" s="8" t="s">
        <v>52</v>
      </c>
      <c r="C18" s="8">
        <v>1</v>
      </c>
      <c r="D18" s="15">
        <v>3700</v>
      </c>
      <c r="E18" s="16">
        <f>D18/(SQRT(3)*$B$11*0.85*0.85)</f>
        <v>6.1597347058870122</v>
      </c>
      <c r="F18" s="16">
        <f>E18</f>
        <v>6.1597347058870122</v>
      </c>
      <c r="G18" s="8" t="s">
        <v>53</v>
      </c>
      <c r="H18" s="9" t="s">
        <v>54</v>
      </c>
    </row>
    <row r="19" spans="1:8" ht="45" x14ac:dyDescent="0.25">
      <c r="A19" s="6">
        <v>2</v>
      </c>
      <c r="B19" s="8" t="s">
        <v>55</v>
      </c>
      <c r="C19" s="8">
        <v>1</v>
      </c>
      <c r="D19" s="15">
        <v>8250</v>
      </c>
      <c r="E19" s="16">
        <f>D19/(SQRT(3)*$B$11)</f>
        <v>9.9232077516966939</v>
      </c>
      <c r="F19" s="16">
        <f>E19*1.25</f>
        <v>12.404009689620867</v>
      </c>
      <c r="G19" s="8" t="s">
        <v>56</v>
      </c>
      <c r="H19" s="9" t="s">
        <v>57</v>
      </c>
    </row>
    <row r="20" spans="1:8" ht="60" x14ac:dyDescent="0.25">
      <c r="A20" s="6">
        <v>3</v>
      </c>
      <c r="B20" s="8" t="s">
        <v>58</v>
      </c>
      <c r="C20" s="8">
        <v>1</v>
      </c>
      <c r="D20" s="15">
        <v>90</v>
      </c>
      <c r="E20" s="16">
        <f>D20/(SQRT(3)*$B$11*0.75*0.65)</f>
        <v>0.22205779584216379</v>
      </c>
      <c r="F20" s="16">
        <f>E20</f>
        <v>0.22205779584216379</v>
      </c>
      <c r="G20" s="8" t="s">
        <v>59</v>
      </c>
      <c r="H20" s="9" t="s">
        <v>60</v>
      </c>
    </row>
    <row r="21" spans="1:8" ht="45" x14ac:dyDescent="0.25">
      <c r="A21" s="6">
        <v>4</v>
      </c>
      <c r="B21" s="8" t="s">
        <v>61</v>
      </c>
      <c r="C21" s="8">
        <v>1</v>
      </c>
      <c r="D21" s="15">
        <v>180</v>
      </c>
      <c r="E21" s="16">
        <f>D21/(SQRT(3)*$B$11*0.75*0.65)</f>
        <v>0.44411559168432757</v>
      </c>
      <c r="F21" s="16">
        <f>E21</f>
        <v>0.44411559168432757</v>
      </c>
      <c r="G21" s="8" t="s">
        <v>62</v>
      </c>
      <c r="H21" s="9" t="s">
        <v>63</v>
      </c>
    </row>
    <row r="22" spans="1:8" ht="30" x14ac:dyDescent="0.25">
      <c r="A22" s="6">
        <v>5</v>
      </c>
      <c r="B22" s="8" t="s">
        <v>64</v>
      </c>
      <c r="C22" s="8">
        <v>1</v>
      </c>
      <c r="D22" s="15">
        <v>60</v>
      </c>
      <c r="E22" s="16">
        <f>D22/$B$13</f>
        <v>2.5</v>
      </c>
      <c r="F22" s="16">
        <f>E22</f>
        <v>2.5</v>
      </c>
      <c r="G22" s="8" t="s">
        <v>65</v>
      </c>
      <c r="H22" s="9" t="s">
        <v>66</v>
      </c>
    </row>
    <row r="23" spans="1:8" ht="60" x14ac:dyDescent="0.25">
      <c r="A23" s="6"/>
      <c r="B23" s="8" t="s">
        <v>67</v>
      </c>
      <c r="C23" s="8"/>
      <c r="D23" s="8"/>
      <c r="E23" s="17">
        <f>1.25*MAX(E18,E20,E21)+SUM(E18:E21)-MAX(E18,E20,E21)</f>
        <v>18.289049521581951</v>
      </c>
      <c r="F23" s="16" t="s">
        <v>68</v>
      </c>
      <c r="G23" s="8" t="s">
        <v>69</v>
      </c>
      <c r="H23" s="9" t="s">
        <v>70</v>
      </c>
    </row>
    <row r="24" spans="1:8" ht="60" x14ac:dyDescent="0.25">
      <c r="A24" s="11"/>
      <c r="B24" s="13" t="s">
        <v>71</v>
      </c>
      <c r="C24" s="13"/>
      <c r="D24" s="13"/>
      <c r="E24" s="18">
        <f>MAX(25,_xlfn.CEILING.MATH(E23,5))</f>
        <v>25</v>
      </c>
      <c r="F24" s="19" t="s">
        <v>68</v>
      </c>
      <c r="G24" s="13" t="s">
        <v>72</v>
      </c>
      <c r="H24" s="14" t="s">
        <v>73</v>
      </c>
    </row>
    <row r="27" spans="1:8" ht="21" customHeight="1" x14ac:dyDescent="0.25">
      <c r="A27" s="114" t="s">
        <v>74</v>
      </c>
      <c r="B27" s="114"/>
      <c r="C27" s="114"/>
      <c r="D27" s="114"/>
      <c r="E27" s="114"/>
      <c r="F27" s="114"/>
      <c r="G27" s="114"/>
      <c r="H27" s="114"/>
    </row>
    <row r="28" spans="1:8" ht="30" customHeight="1" x14ac:dyDescent="0.25">
      <c r="A28" s="2" t="s">
        <v>75</v>
      </c>
      <c r="B28" s="4" t="s">
        <v>76</v>
      </c>
      <c r="C28" s="4" t="s">
        <v>77</v>
      </c>
      <c r="D28" s="4" t="s">
        <v>78</v>
      </c>
      <c r="E28" s="4" t="s">
        <v>79</v>
      </c>
      <c r="F28" s="4" t="s">
        <v>80</v>
      </c>
      <c r="G28" s="4" t="s">
        <v>81</v>
      </c>
      <c r="H28" s="5" t="s">
        <v>82</v>
      </c>
    </row>
    <row r="29" spans="1:8" ht="45" x14ac:dyDescent="0.25">
      <c r="A29" s="6" t="s">
        <v>83</v>
      </c>
      <c r="B29" s="8" t="s">
        <v>84</v>
      </c>
      <c r="C29" s="8" t="s">
        <v>22</v>
      </c>
      <c r="D29" s="8" t="s">
        <v>85</v>
      </c>
      <c r="E29" s="20" t="s">
        <v>86</v>
      </c>
      <c r="F29" s="8" t="s">
        <v>87</v>
      </c>
      <c r="G29" s="8" t="s">
        <v>88</v>
      </c>
      <c r="H29" s="9" t="s">
        <v>89</v>
      </c>
    </row>
    <row r="30" spans="1:8" ht="60" x14ac:dyDescent="0.25">
      <c r="A30" s="6" t="s">
        <v>90</v>
      </c>
      <c r="B30" s="8" t="s">
        <v>91</v>
      </c>
      <c r="C30" s="8" t="s">
        <v>92</v>
      </c>
      <c r="D30" s="8" t="s">
        <v>93</v>
      </c>
      <c r="E30" s="20" t="s">
        <v>94</v>
      </c>
      <c r="F30" s="8" t="s">
        <v>95</v>
      </c>
      <c r="G30" s="8" t="s">
        <v>96</v>
      </c>
      <c r="H30" s="9" t="s">
        <v>97</v>
      </c>
    </row>
    <row r="31" spans="1:8" ht="45" x14ac:dyDescent="0.25">
      <c r="A31" s="6" t="s">
        <v>98</v>
      </c>
      <c r="B31" s="8" t="s">
        <v>99</v>
      </c>
      <c r="C31" s="8" t="s">
        <v>100</v>
      </c>
      <c r="D31" s="8" t="s">
        <v>101</v>
      </c>
      <c r="E31" s="20" t="s">
        <v>102</v>
      </c>
      <c r="F31" s="8" t="s">
        <v>95</v>
      </c>
      <c r="G31" s="8" t="s">
        <v>103</v>
      </c>
      <c r="H31" s="9" t="s">
        <v>89</v>
      </c>
    </row>
    <row r="32" spans="1:8" ht="45" x14ac:dyDescent="0.25">
      <c r="A32" s="6" t="s">
        <v>104</v>
      </c>
      <c r="B32" s="8" t="s">
        <v>105</v>
      </c>
      <c r="C32" s="8" t="s">
        <v>92</v>
      </c>
      <c r="D32" s="8" t="s">
        <v>93</v>
      </c>
      <c r="E32" s="20" t="s">
        <v>95</v>
      </c>
      <c r="F32" s="8" t="s">
        <v>95</v>
      </c>
      <c r="G32" s="8" t="s">
        <v>106</v>
      </c>
      <c r="H32" s="9" t="s">
        <v>97</v>
      </c>
    </row>
    <row r="33" spans="1:8" ht="45" x14ac:dyDescent="0.25">
      <c r="A33" s="6" t="s">
        <v>107</v>
      </c>
      <c r="B33" s="8" t="s">
        <v>105</v>
      </c>
      <c r="C33" s="8" t="s">
        <v>92</v>
      </c>
      <c r="D33" s="8" t="s">
        <v>93</v>
      </c>
      <c r="E33" s="20" t="s">
        <v>95</v>
      </c>
      <c r="F33" s="8" t="s">
        <v>95</v>
      </c>
      <c r="G33" s="8" t="s">
        <v>108</v>
      </c>
      <c r="H33" s="9" t="s">
        <v>97</v>
      </c>
    </row>
    <row r="34" spans="1:8" ht="60" x14ac:dyDescent="0.25">
      <c r="A34" s="6" t="s">
        <v>109</v>
      </c>
      <c r="B34" s="8" t="s">
        <v>110</v>
      </c>
      <c r="C34" s="8" t="s">
        <v>111</v>
      </c>
      <c r="D34" s="8" t="s">
        <v>112</v>
      </c>
      <c r="E34" s="20" t="s">
        <v>22</v>
      </c>
      <c r="F34" s="8" t="s">
        <v>22</v>
      </c>
      <c r="G34" s="8" t="s">
        <v>113</v>
      </c>
      <c r="H34" s="9" t="s">
        <v>114</v>
      </c>
    </row>
    <row r="35" spans="1:8" ht="60" x14ac:dyDescent="0.25">
      <c r="A35" s="6" t="s">
        <v>115</v>
      </c>
      <c r="B35" s="8" t="s">
        <v>116</v>
      </c>
      <c r="C35" s="8" t="s">
        <v>117</v>
      </c>
      <c r="D35" s="8" t="s">
        <v>118</v>
      </c>
      <c r="E35" s="20" t="s">
        <v>119</v>
      </c>
      <c r="F35" s="8" t="s">
        <v>22</v>
      </c>
      <c r="G35" s="8" t="s">
        <v>120</v>
      </c>
      <c r="H35" s="9" t="s">
        <v>89</v>
      </c>
    </row>
    <row r="36" spans="1:8" ht="60" x14ac:dyDescent="0.25">
      <c r="A36" s="6" t="s">
        <v>121</v>
      </c>
      <c r="B36" s="8" t="s">
        <v>122</v>
      </c>
      <c r="C36" s="8" t="s">
        <v>123</v>
      </c>
      <c r="D36" s="8" t="s">
        <v>124</v>
      </c>
      <c r="E36" s="20" t="s">
        <v>125</v>
      </c>
      <c r="F36" s="8" t="s">
        <v>126</v>
      </c>
      <c r="G36" s="8" t="s">
        <v>127</v>
      </c>
      <c r="H36" s="9" t="s">
        <v>128</v>
      </c>
    </row>
    <row r="37" spans="1:8" ht="75" x14ac:dyDescent="0.25">
      <c r="A37" s="11" t="s">
        <v>129</v>
      </c>
      <c r="B37" s="13" t="s">
        <v>130</v>
      </c>
      <c r="C37" s="13" t="s">
        <v>131</v>
      </c>
      <c r="D37" s="13" t="s">
        <v>118</v>
      </c>
      <c r="E37" s="21" t="s">
        <v>119</v>
      </c>
      <c r="F37" s="13" t="s">
        <v>22</v>
      </c>
      <c r="G37" s="13" t="s">
        <v>132</v>
      </c>
      <c r="H37" s="14" t="s">
        <v>89</v>
      </c>
    </row>
    <row r="38" spans="1:8" x14ac:dyDescent="0.25">
      <c r="E38" s="22"/>
    </row>
    <row r="39" spans="1:8" ht="21" customHeight="1" x14ac:dyDescent="0.25">
      <c r="A39" s="114" t="s">
        <v>133</v>
      </c>
      <c r="B39" s="114"/>
      <c r="C39" s="114"/>
      <c r="D39" s="114"/>
      <c r="E39" s="115"/>
      <c r="F39" s="114"/>
      <c r="G39" s="114"/>
      <c r="H39" s="114"/>
    </row>
    <row r="40" spans="1:8" ht="30" customHeight="1" x14ac:dyDescent="0.25">
      <c r="A40" s="2" t="s">
        <v>134</v>
      </c>
      <c r="B40" s="4" t="s">
        <v>135</v>
      </c>
      <c r="C40" s="4" t="s">
        <v>136</v>
      </c>
      <c r="D40" s="4" t="s">
        <v>137</v>
      </c>
      <c r="E40" s="23" t="s">
        <v>138</v>
      </c>
      <c r="F40" s="4" t="s">
        <v>139</v>
      </c>
      <c r="G40" s="4" t="s">
        <v>140</v>
      </c>
      <c r="H40" s="5" t="s">
        <v>10</v>
      </c>
    </row>
    <row r="41" spans="1:8" ht="45" x14ac:dyDescent="0.25">
      <c r="A41" s="6">
        <v>1</v>
      </c>
      <c r="B41" s="8" t="s">
        <v>141</v>
      </c>
      <c r="C41" s="8" t="s">
        <v>142</v>
      </c>
      <c r="D41" s="8" t="s">
        <v>143</v>
      </c>
      <c r="E41" s="20" t="s">
        <v>144</v>
      </c>
      <c r="F41" s="8" t="s">
        <v>145</v>
      </c>
      <c r="G41" s="8" t="s">
        <v>146</v>
      </c>
      <c r="H41" s="9" t="s">
        <v>147</v>
      </c>
    </row>
    <row r="42" spans="1:8" ht="45" x14ac:dyDescent="0.25">
      <c r="A42" s="6">
        <v>2</v>
      </c>
      <c r="B42" s="8" t="s">
        <v>148</v>
      </c>
      <c r="C42" s="8" t="s">
        <v>149</v>
      </c>
      <c r="D42" s="8" t="s">
        <v>150</v>
      </c>
      <c r="E42" s="20" t="s">
        <v>151</v>
      </c>
      <c r="F42" s="8" t="s">
        <v>152</v>
      </c>
      <c r="G42" s="8" t="s">
        <v>153</v>
      </c>
      <c r="H42" s="9" t="s">
        <v>154</v>
      </c>
    </row>
    <row r="43" spans="1:8" ht="30" x14ac:dyDescent="0.25">
      <c r="A43" s="6">
        <v>3</v>
      </c>
      <c r="B43" s="8" t="s">
        <v>155</v>
      </c>
      <c r="C43" s="8" t="s">
        <v>156</v>
      </c>
      <c r="D43" s="8" t="s">
        <v>157</v>
      </c>
      <c r="E43" s="20" t="s">
        <v>158</v>
      </c>
      <c r="F43" s="8" t="s">
        <v>159</v>
      </c>
      <c r="G43" s="8" t="s">
        <v>155</v>
      </c>
      <c r="H43" s="9" t="s">
        <v>160</v>
      </c>
    </row>
    <row r="44" spans="1:8" ht="30" x14ac:dyDescent="0.25">
      <c r="A44" s="6">
        <v>4</v>
      </c>
      <c r="B44" s="8" t="s">
        <v>161</v>
      </c>
      <c r="C44" s="8" t="s">
        <v>162</v>
      </c>
      <c r="D44" s="8" t="s">
        <v>163</v>
      </c>
      <c r="E44" s="20" t="s">
        <v>164</v>
      </c>
      <c r="F44" s="8" t="s">
        <v>165</v>
      </c>
      <c r="G44" s="8" t="s">
        <v>161</v>
      </c>
      <c r="H44" s="9" t="s">
        <v>166</v>
      </c>
    </row>
    <row r="45" spans="1:8" ht="30" x14ac:dyDescent="0.25">
      <c r="A45" s="6">
        <v>5</v>
      </c>
      <c r="B45" s="8" t="s">
        <v>167</v>
      </c>
      <c r="C45" s="8" t="s">
        <v>168</v>
      </c>
      <c r="D45" s="8" t="s">
        <v>169</v>
      </c>
      <c r="E45" s="20" t="s">
        <v>170</v>
      </c>
      <c r="F45" s="8" t="s">
        <v>171</v>
      </c>
      <c r="G45" s="8" t="s">
        <v>167</v>
      </c>
      <c r="H45" s="9" t="s">
        <v>172</v>
      </c>
    </row>
    <row r="46" spans="1:8" ht="30" x14ac:dyDescent="0.25">
      <c r="A46" s="6">
        <v>6</v>
      </c>
      <c r="B46" s="8" t="s">
        <v>173</v>
      </c>
      <c r="C46" s="8" t="s">
        <v>174</v>
      </c>
      <c r="D46" s="8" t="s">
        <v>175</v>
      </c>
      <c r="E46" s="20" t="s">
        <v>176</v>
      </c>
      <c r="F46" s="8" t="s">
        <v>177</v>
      </c>
      <c r="G46" s="8" t="s">
        <v>178</v>
      </c>
      <c r="H46" s="9" t="s">
        <v>179</v>
      </c>
    </row>
    <row r="47" spans="1:8" ht="30" x14ac:dyDescent="0.25">
      <c r="A47" s="6">
        <v>7</v>
      </c>
      <c r="B47" s="8" t="s">
        <v>180</v>
      </c>
      <c r="C47" s="8" t="s">
        <v>181</v>
      </c>
      <c r="D47" s="8" t="s">
        <v>182</v>
      </c>
      <c r="E47" s="20" t="s">
        <v>183</v>
      </c>
      <c r="F47" s="8" t="s">
        <v>184</v>
      </c>
      <c r="G47" s="8" t="s">
        <v>185</v>
      </c>
      <c r="H47" s="9" t="s">
        <v>186</v>
      </c>
    </row>
    <row r="48" spans="1:8" ht="30" x14ac:dyDescent="0.25">
      <c r="A48" s="11">
        <v>8</v>
      </c>
      <c r="B48" s="13" t="s">
        <v>187</v>
      </c>
      <c r="C48" s="13" t="s">
        <v>188</v>
      </c>
      <c r="D48" s="13" t="s">
        <v>189</v>
      </c>
      <c r="E48" s="21" t="s">
        <v>190</v>
      </c>
      <c r="F48" s="13" t="s">
        <v>191</v>
      </c>
      <c r="G48" s="13" t="s">
        <v>192</v>
      </c>
      <c r="H48" s="14" t="s">
        <v>193</v>
      </c>
    </row>
    <row r="49" spans="1:8" x14ac:dyDescent="0.25">
      <c r="E49" s="22"/>
    </row>
    <row r="50" spans="1:8" ht="21" customHeight="1" x14ac:dyDescent="0.25">
      <c r="A50" s="114" t="s">
        <v>194</v>
      </c>
      <c r="B50" s="114"/>
      <c r="C50" s="114"/>
      <c r="D50" s="114"/>
      <c r="E50" s="115"/>
      <c r="F50" s="114"/>
      <c r="G50" s="114"/>
      <c r="H50" s="114"/>
    </row>
    <row r="51" spans="1:8" ht="30" customHeight="1" x14ac:dyDescent="0.25">
      <c r="A51" s="2" t="s">
        <v>195</v>
      </c>
      <c r="B51" s="4" t="s">
        <v>196</v>
      </c>
      <c r="C51" s="4" t="s">
        <v>197</v>
      </c>
      <c r="D51" s="4" t="s">
        <v>198</v>
      </c>
      <c r="E51" s="23" t="s">
        <v>199</v>
      </c>
      <c r="F51" s="4" t="s">
        <v>200</v>
      </c>
      <c r="G51" s="4" t="s">
        <v>201</v>
      </c>
      <c r="H51" s="5" t="s">
        <v>202</v>
      </c>
    </row>
    <row r="52" spans="1:8" ht="30" x14ac:dyDescent="0.25">
      <c r="A52" s="6" t="s">
        <v>203</v>
      </c>
      <c r="B52" s="8" t="s">
        <v>204</v>
      </c>
      <c r="C52" s="8" t="s">
        <v>205</v>
      </c>
      <c r="D52" s="8" t="s">
        <v>206</v>
      </c>
      <c r="E52" s="24">
        <v>0.18</v>
      </c>
      <c r="F52" s="8" t="s">
        <v>207</v>
      </c>
      <c r="G52" s="8" t="s">
        <v>208</v>
      </c>
      <c r="H52" s="9" t="s">
        <v>209</v>
      </c>
    </row>
    <row r="53" spans="1:8" ht="30" x14ac:dyDescent="0.25">
      <c r="A53" s="6" t="s">
        <v>210</v>
      </c>
      <c r="B53" s="8" t="s">
        <v>151</v>
      </c>
      <c r="C53" s="8" t="s">
        <v>211</v>
      </c>
      <c r="D53" s="8" t="s">
        <v>206</v>
      </c>
      <c r="E53" s="24">
        <v>0.18</v>
      </c>
      <c r="F53" s="8" t="s">
        <v>212</v>
      </c>
      <c r="G53" s="8" t="s">
        <v>208</v>
      </c>
      <c r="H53" s="9" t="s">
        <v>213</v>
      </c>
    </row>
    <row r="54" spans="1:8" ht="30" x14ac:dyDescent="0.25">
      <c r="A54" s="6" t="s">
        <v>214</v>
      </c>
      <c r="B54" s="8" t="s">
        <v>215</v>
      </c>
      <c r="C54" s="8" t="s">
        <v>216</v>
      </c>
      <c r="D54" s="8" t="s">
        <v>217</v>
      </c>
      <c r="E54" s="24">
        <v>0.14000000000000001</v>
      </c>
      <c r="F54" s="8" t="s">
        <v>218</v>
      </c>
      <c r="G54" s="8" t="s">
        <v>219</v>
      </c>
      <c r="H54" s="9" t="s">
        <v>220</v>
      </c>
    </row>
    <row r="55" spans="1:8" ht="30" x14ac:dyDescent="0.25">
      <c r="A55" s="6" t="s">
        <v>221</v>
      </c>
      <c r="B55" s="8" t="s">
        <v>158</v>
      </c>
      <c r="C55" s="8" t="s">
        <v>222</v>
      </c>
      <c r="D55" s="8" t="s">
        <v>223</v>
      </c>
      <c r="E55" s="24">
        <v>0.14000000000000001</v>
      </c>
      <c r="F55" s="8" t="s">
        <v>224</v>
      </c>
      <c r="G55" s="8" t="s">
        <v>208</v>
      </c>
      <c r="H55" s="9" t="s">
        <v>225</v>
      </c>
    </row>
    <row r="56" spans="1:8" ht="45" x14ac:dyDescent="0.25">
      <c r="A56" s="6" t="s">
        <v>226</v>
      </c>
      <c r="B56" s="8" t="s">
        <v>227</v>
      </c>
      <c r="C56" s="8" t="s">
        <v>228</v>
      </c>
      <c r="D56" s="8" t="s">
        <v>229</v>
      </c>
      <c r="E56" s="24">
        <v>0.12</v>
      </c>
      <c r="F56" s="8" t="s">
        <v>230</v>
      </c>
      <c r="G56" s="8" t="s">
        <v>208</v>
      </c>
      <c r="H56" s="9" t="s">
        <v>231</v>
      </c>
    </row>
    <row r="57" spans="1:8" ht="45" x14ac:dyDescent="0.25">
      <c r="A57" s="6" t="s">
        <v>232</v>
      </c>
      <c r="B57" s="8" t="s">
        <v>170</v>
      </c>
      <c r="C57" s="8" t="s">
        <v>233</v>
      </c>
      <c r="D57" s="8" t="s">
        <v>234</v>
      </c>
      <c r="E57" s="24">
        <v>0.12</v>
      </c>
      <c r="F57" s="8" t="s">
        <v>235</v>
      </c>
      <c r="G57" s="8" t="s">
        <v>236</v>
      </c>
      <c r="H57" s="9" t="s">
        <v>237</v>
      </c>
    </row>
    <row r="58" spans="1:8" ht="45" x14ac:dyDescent="0.25">
      <c r="A58" s="6" t="s">
        <v>238</v>
      </c>
      <c r="B58" s="8" t="s">
        <v>176</v>
      </c>
      <c r="C58" s="8" t="s">
        <v>239</v>
      </c>
      <c r="D58" s="8" t="s">
        <v>240</v>
      </c>
      <c r="E58" s="24">
        <v>0.06</v>
      </c>
      <c r="F58" s="8" t="s">
        <v>241</v>
      </c>
      <c r="G58" s="8" t="s">
        <v>208</v>
      </c>
      <c r="H58" s="9" t="s">
        <v>242</v>
      </c>
    </row>
    <row r="59" spans="1:8" ht="45" x14ac:dyDescent="0.25">
      <c r="A59" s="6" t="s">
        <v>243</v>
      </c>
      <c r="B59" s="8" t="s">
        <v>190</v>
      </c>
      <c r="C59" s="8" t="s">
        <v>244</v>
      </c>
      <c r="D59" s="8" t="s">
        <v>245</v>
      </c>
      <c r="E59" s="24">
        <v>0.06</v>
      </c>
      <c r="F59" s="8" t="s">
        <v>246</v>
      </c>
      <c r="G59" s="8" t="s">
        <v>247</v>
      </c>
      <c r="H59" s="9" t="s">
        <v>248</v>
      </c>
    </row>
    <row r="60" spans="1:8" ht="30" x14ac:dyDescent="0.25">
      <c r="A60" s="11" t="s">
        <v>249</v>
      </c>
      <c r="B60" s="13" t="s">
        <v>250</v>
      </c>
      <c r="C60" s="13" t="s">
        <v>251</v>
      </c>
      <c r="D60" s="13" t="s">
        <v>252</v>
      </c>
      <c r="E60" s="21" t="s">
        <v>22</v>
      </c>
      <c r="F60" s="13" t="s">
        <v>253</v>
      </c>
      <c r="G60" s="13" t="s">
        <v>22</v>
      </c>
      <c r="H60" s="14" t="s">
        <v>254</v>
      </c>
    </row>
    <row r="61" spans="1:8" x14ac:dyDescent="0.25">
      <c r="E61" s="22"/>
    </row>
    <row r="62" spans="1:8" x14ac:dyDescent="0.25">
      <c r="E62" s="22"/>
    </row>
    <row r="63" spans="1:8" ht="21" customHeight="1" x14ac:dyDescent="0.25">
      <c r="A63" s="114" t="s">
        <v>255</v>
      </c>
      <c r="B63" s="114"/>
      <c r="C63" s="114"/>
      <c r="D63" s="114"/>
      <c r="E63" s="115"/>
      <c r="F63" s="114"/>
      <c r="G63" s="114"/>
      <c r="H63" s="114"/>
    </row>
    <row r="64" spans="1:8" ht="30" customHeight="1" x14ac:dyDescent="0.25">
      <c r="A64" s="2" t="s">
        <v>44</v>
      </c>
      <c r="B64" s="4" t="s">
        <v>256</v>
      </c>
      <c r="C64" s="4" t="s">
        <v>46</v>
      </c>
      <c r="D64" s="4" t="s">
        <v>257</v>
      </c>
      <c r="E64" s="23" t="s">
        <v>258</v>
      </c>
      <c r="F64" s="4" t="s">
        <v>259</v>
      </c>
      <c r="G64" s="4" t="s">
        <v>260</v>
      </c>
      <c r="H64" s="5" t="s">
        <v>261</v>
      </c>
    </row>
    <row r="65" spans="1:8" ht="75" x14ac:dyDescent="0.25">
      <c r="A65" s="6">
        <v>1</v>
      </c>
      <c r="B65" s="8" t="s">
        <v>262</v>
      </c>
      <c r="C65" s="8">
        <v>1</v>
      </c>
      <c r="D65" s="8" t="s">
        <v>263</v>
      </c>
      <c r="E65" s="20" t="s">
        <v>264</v>
      </c>
      <c r="F65" s="8" t="s">
        <v>265</v>
      </c>
      <c r="G65" s="8" t="s">
        <v>266</v>
      </c>
      <c r="H65" s="9" t="s">
        <v>267</v>
      </c>
    </row>
    <row r="66" spans="1:8" ht="60" x14ac:dyDescent="0.25">
      <c r="A66" s="6">
        <v>2</v>
      </c>
      <c r="B66" s="8" t="s">
        <v>268</v>
      </c>
      <c r="C66" s="8">
        <v>1</v>
      </c>
      <c r="D66" s="8" t="s">
        <v>269</v>
      </c>
      <c r="E66" s="20" t="s">
        <v>264</v>
      </c>
      <c r="F66" s="8" t="s">
        <v>265</v>
      </c>
      <c r="G66" s="8" t="s">
        <v>270</v>
      </c>
      <c r="H66" s="9" t="s">
        <v>271</v>
      </c>
    </row>
    <row r="67" spans="1:8" ht="60" x14ac:dyDescent="0.25">
      <c r="A67" s="6">
        <v>3</v>
      </c>
      <c r="B67" s="8" t="s">
        <v>272</v>
      </c>
      <c r="C67" s="8">
        <v>1</v>
      </c>
      <c r="D67" s="8" t="s">
        <v>273</v>
      </c>
      <c r="E67" s="20" t="s">
        <v>274</v>
      </c>
      <c r="F67" s="8" t="s">
        <v>275</v>
      </c>
      <c r="G67" s="8" t="s">
        <v>276</v>
      </c>
      <c r="H67" s="9" t="s">
        <v>277</v>
      </c>
    </row>
    <row r="68" spans="1:8" ht="30" x14ac:dyDescent="0.25">
      <c r="A68" s="6">
        <v>4</v>
      </c>
      <c r="B68" s="8" t="s">
        <v>278</v>
      </c>
      <c r="C68" s="8">
        <v>1</v>
      </c>
      <c r="D68" s="8" t="s">
        <v>279</v>
      </c>
      <c r="E68" s="20" t="s">
        <v>280</v>
      </c>
      <c r="F68" s="8" t="s">
        <v>281</v>
      </c>
      <c r="G68" s="8" t="s">
        <v>282</v>
      </c>
      <c r="H68" s="9" t="s">
        <v>283</v>
      </c>
    </row>
    <row r="69" spans="1:8" ht="30" x14ac:dyDescent="0.25">
      <c r="A69" s="6">
        <v>5</v>
      </c>
      <c r="B69" s="8" t="s">
        <v>284</v>
      </c>
      <c r="C69" s="8">
        <v>1</v>
      </c>
      <c r="D69" s="8" t="s">
        <v>285</v>
      </c>
      <c r="E69" s="20" t="s">
        <v>286</v>
      </c>
      <c r="F69" s="8" t="s">
        <v>287</v>
      </c>
      <c r="G69" s="8" t="s">
        <v>288</v>
      </c>
      <c r="H69" s="9" t="s">
        <v>289</v>
      </c>
    </row>
    <row r="70" spans="1:8" ht="30" x14ac:dyDescent="0.25">
      <c r="A70" s="6">
        <v>6</v>
      </c>
      <c r="B70" s="8" t="s">
        <v>290</v>
      </c>
      <c r="C70" s="8">
        <v>1</v>
      </c>
      <c r="D70" s="8" t="s">
        <v>291</v>
      </c>
      <c r="E70" s="20" t="s">
        <v>286</v>
      </c>
      <c r="F70" s="8" t="s">
        <v>292</v>
      </c>
      <c r="G70" s="8" t="s">
        <v>293</v>
      </c>
      <c r="H70" s="9" t="s">
        <v>294</v>
      </c>
    </row>
    <row r="71" spans="1:8" ht="30" x14ac:dyDescent="0.25">
      <c r="A71" s="6">
        <v>7</v>
      </c>
      <c r="B71" s="8" t="s">
        <v>295</v>
      </c>
      <c r="C71" s="8">
        <v>2</v>
      </c>
      <c r="D71" s="8" t="s">
        <v>296</v>
      </c>
      <c r="E71" s="20" t="s">
        <v>22</v>
      </c>
      <c r="F71" s="8" t="s">
        <v>297</v>
      </c>
      <c r="G71" s="8" t="s">
        <v>22</v>
      </c>
      <c r="H71" s="9" t="s">
        <v>298</v>
      </c>
    </row>
    <row r="72" spans="1:8" ht="45" x14ac:dyDescent="0.25">
      <c r="A72" s="6">
        <v>8</v>
      </c>
      <c r="B72" s="8" t="s">
        <v>299</v>
      </c>
      <c r="C72" s="8">
        <v>1</v>
      </c>
      <c r="D72" s="8" t="s">
        <v>300</v>
      </c>
      <c r="E72" s="20" t="s">
        <v>301</v>
      </c>
      <c r="F72" s="8" t="s">
        <v>265</v>
      </c>
      <c r="G72" s="8" t="s">
        <v>302</v>
      </c>
      <c r="H72" s="9" t="s">
        <v>303</v>
      </c>
    </row>
    <row r="73" spans="1:8" ht="45" x14ac:dyDescent="0.25">
      <c r="A73" s="6">
        <v>9</v>
      </c>
      <c r="B73" s="8" t="s">
        <v>304</v>
      </c>
      <c r="C73" s="8">
        <v>1</v>
      </c>
      <c r="D73" s="8" t="s">
        <v>305</v>
      </c>
      <c r="E73" s="20" t="s">
        <v>301</v>
      </c>
      <c r="F73" s="8" t="s">
        <v>265</v>
      </c>
      <c r="G73" s="8" t="s">
        <v>302</v>
      </c>
      <c r="H73" s="9" t="s">
        <v>306</v>
      </c>
    </row>
    <row r="74" spans="1:8" ht="45" x14ac:dyDescent="0.25">
      <c r="A74" s="11">
        <v>10</v>
      </c>
      <c r="B74" s="13" t="s">
        <v>307</v>
      </c>
      <c r="C74" s="13">
        <v>1</v>
      </c>
      <c r="D74" s="13" t="s">
        <v>308</v>
      </c>
      <c r="E74" s="21" t="s">
        <v>309</v>
      </c>
      <c r="F74" s="13" t="s">
        <v>310</v>
      </c>
      <c r="G74" s="13" t="s">
        <v>311</v>
      </c>
      <c r="H74" s="14" t="s">
        <v>312</v>
      </c>
    </row>
    <row r="75" spans="1:8" ht="21" customHeight="1" x14ac:dyDescent="0.25">
      <c r="A75" s="114" t="s">
        <v>313</v>
      </c>
      <c r="B75" s="114"/>
      <c r="C75" s="114"/>
      <c r="D75" s="114"/>
      <c r="E75" s="115"/>
      <c r="F75" s="114"/>
      <c r="G75" s="114"/>
      <c r="H75" s="114"/>
    </row>
    <row r="76" spans="1:8" ht="30" customHeight="1" x14ac:dyDescent="0.25">
      <c r="A76" s="2" t="s">
        <v>136</v>
      </c>
      <c r="B76" s="4" t="s">
        <v>314</v>
      </c>
      <c r="C76" s="4" t="s">
        <v>315</v>
      </c>
      <c r="D76" s="4" t="s">
        <v>316</v>
      </c>
      <c r="E76" s="23" t="s">
        <v>317</v>
      </c>
      <c r="F76" s="4" t="s">
        <v>318</v>
      </c>
      <c r="G76" s="4" t="s">
        <v>319</v>
      </c>
      <c r="H76" s="5" t="s">
        <v>10</v>
      </c>
    </row>
    <row r="77" spans="1:8" ht="45" x14ac:dyDescent="0.25">
      <c r="A77" s="6" t="s">
        <v>320</v>
      </c>
      <c r="B77" s="8" t="s">
        <v>321</v>
      </c>
      <c r="C77" s="8" t="s">
        <v>322</v>
      </c>
      <c r="D77" s="8" t="s">
        <v>323</v>
      </c>
      <c r="E77" s="20" t="s">
        <v>324</v>
      </c>
      <c r="F77" s="8" t="s">
        <v>325</v>
      </c>
      <c r="G77" s="8" t="s">
        <v>326</v>
      </c>
      <c r="H77" s="9" t="s">
        <v>327</v>
      </c>
    </row>
    <row r="78" spans="1:8" ht="60" x14ac:dyDescent="0.25">
      <c r="A78" s="6" t="s">
        <v>328</v>
      </c>
      <c r="B78" s="8" t="s">
        <v>329</v>
      </c>
      <c r="C78" s="8" t="s">
        <v>330</v>
      </c>
      <c r="D78" s="8" t="s">
        <v>331</v>
      </c>
      <c r="E78" s="20" t="s">
        <v>332</v>
      </c>
      <c r="F78" s="8" t="s">
        <v>333</v>
      </c>
      <c r="G78" s="8" t="s">
        <v>334</v>
      </c>
      <c r="H78" s="9" t="s">
        <v>335</v>
      </c>
    </row>
    <row r="79" spans="1:8" ht="75" x14ac:dyDescent="0.25">
      <c r="A79" s="6" t="s">
        <v>336</v>
      </c>
      <c r="B79" s="8" t="s">
        <v>278</v>
      </c>
      <c r="C79" s="8" t="s">
        <v>337</v>
      </c>
      <c r="D79" s="8" t="s">
        <v>338</v>
      </c>
      <c r="E79" s="20" t="s">
        <v>339</v>
      </c>
      <c r="F79" s="8" t="s">
        <v>340</v>
      </c>
      <c r="G79" s="8" t="s">
        <v>341</v>
      </c>
      <c r="H79" s="9" t="s">
        <v>342</v>
      </c>
    </row>
    <row r="80" spans="1:8" ht="30" x14ac:dyDescent="0.25">
      <c r="A80" s="6" t="s">
        <v>343</v>
      </c>
      <c r="B80" s="8" t="s">
        <v>344</v>
      </c>
      <c r="C80" s="8" t="s">
        <v>345</v>
      </c>
      <c r="D80" s="8" t="s">
        <v>346</v>
      </c>
      <c r="E80" s="20" t="s">
        <v>347</v>
      </c>
      <c r="F80" s="8" t="s">
        <v>348</v>
      </c>
      <c r="G80" s="8" t="s">
        <v>349</v>
      </c>
      <c r="H80" s="9" t="s">
        <v>350</v>
      </c>
    </row>
    <row r="81" spans="1:8" ht="45" x14ac:dyDescent="0.25">
      <c r="A81" s="6" t="s">
        <v>351</v>
      </c>
      <c r="B81" s="8" t="s">
        <v>352</v>
      </c>
      <c r="C81" s="8" t="s">
        <v>353</v>
      </c>
      <c r="D81" s="8" t="s">
        <v>354</v>
      </c>
      <c r="E81" s="20" t="s">
        <v>355</v>
      </c>
      <c r="F81" s="8" t="s">
        <v>356</v>
      </c>
      <c r="G81" s="8" t="s">
        <v>357</v>
      </c>
      <c r="H81" s="9" t="s">
        <v>358</v>
      </c>
    </row>
    <row r="82" spans="1:8" ht="45" x14ac:dyDescent="0.25">
      <c r="A82" s="6" t="s">
        <v>359</v>
      </c>
      <c r="B82" s="8" t="s">
        <v>360</v>
      </c>
      <c r="C82" s="8" t="s">
        <v>361</v>
      </c>
      <c r="D82" s="8" t="s">
        <v>362</v>
      </c>
      <c r="E82" s="20" t="s">
        <v>363</v>
      </c>
      <c r="F82" s="8" t="s">
        <v>364</v>
      </c>
      <c r="G82" s="8" t="s">
        <v>365</v>
      </c>
      <c r="H82" s="9" t="s">
        <v>366</v>
      </c>
    </row>
    <row r="83" spans="1:8" ht="30" x14ac:dyDescent="0.25">
      <c r="A83" s="6" t="s">
        <v>367</v>
      </c>
      <c r="B83" s="8" t="s">
        <v>368</v>
      </c>
      <c r="C83" s="8" t="s">
        <v>369</v>
      </c>
      <c r="D83" s="8" t="s">
        <v>370</v>
      </c>
      <c r="E83" s="20" t="s">
        <v>371</v>
      </c>
      <c r="F83" s="8" t="s">
        <v>372</v>
      </c>
      <c r="G83" s="8" t="s">
        <v>373</v>
      </c>
      <c r="H83" s="9" t="s">
        <v>374</v>
      </c>
    </row>
    <row r="84" spans="1:8" ht="30" x14ac:dyDescent="0.25">
      <c r="A84" s="6" t="s">
        <v>375</v>
      </c>
      <c r="B84" s="8" t="s">
        <v>376</v>
      </c>
      <c r="C84" s="8" t="s">
        <v>377</v>
      </c>
      <c r="D84" s="8" t="s">
        <v>346</v>
      </c>
      <c r="E84" s="20" t="s">
        <v>378</v>
      </c>
      <c r="F84" s="8" t="s">
        <v>379</v>
      </c>
      <c r="G84" s="8" t="s">
        <v>380</v>
      </c>
      <c r="H84" s="9" t="s">
        <v>381</v>
      </c>
    </row>
    <row r="85" spans="1:8" ht="30" x14ac:dyDescent="0.25">
      <c r="A85" s="11" t="s">
        <v>382</v>
      </c>
      <c r="B85" s="13" t="s">
        <v>383</v>
      </c>
      <c r="C85" s="13" t="s">
        <v>384</v>
      </c>
      <c r="D85" s="13" t="s">
        <v>385</v>
      </c>
      <c r="E85" s="21" t="s">
        <v>386</v>
      </c>
      <c r="F85" s="13" t="s">
        <v>387</v>
      </c>
      <c r="G85" s="13" t="s">
        <v>388</v>
      </c>
      <c r="H85" s="14" t="s">
        <v>389</v>
      </c>
    </row>
    <row r="86" spans="1:8" x14ac:dyDescent="0.25">
      <c r="E86" s="22"/>
    </row>
    <row r="87" spans="1:8" x14ac:dyDescent="0.25">
      <c r="E87" s="22"/>
    </row>
    <row r="88" spans="1:8" ht="21" customHeight="1" x14ac:dyDescent="0.25">
      <c r="A88" s="114" t="s">
        <v>390</v>
      </c>
      <c r="B88" s="114"/>
      <c r="C88" s="114"/>
      <c r="D88" s="114"/>
      <c r="E88" s="115"/>
      <c r="F88" s="114"/>
      <c r="G88" s="114"/>
      <c r="H88" s="114"/>
    </row>
    <row r="89" spans="1:8" ht="30" customHeight="1" x14ac:dyDescent="0.25">
      <c r="A89" s="2" t="s">
        <v>44</v>
      </c>
      <c r="B89" s="4" t="s">
        <v>391</v>
      </c>
      <c r="C89" s="4" t="s">
        <v>392</v>
      </c>
      <c r="D89" s="4" t="s">
        <v>393</v>
      </c>
      <c r="E89" s="23" t="s">
        <v>394</v>
      </c>
      <c r="F89" s="4" t="s">
        <v>395</v>
      </c>
      <c r="G89" s="4" t="s">
        <v>396</v>
      </c>
      <c r="H89" s="5" t="s">
        <v>10</v>
      </c>
    </row>
    <row r="90" spans="1:8" ht="60" x14ac:dyDescent="0.25">
      <c r="A90" s="6">
        <v>1</v>
      </c>
      <c r="B90" s="8" t="s">
        <v>397</v>
      </c>
      <c r="C90" s="8" t="s">
        <v>398</v>
      </c>
      <c r="D90" s="8" t="s">
        <v>399</v>
      </c>
      <c r="E90" s="20" t="s">
        <v>400</v>
      </c>
      <c r="F90" s="8" t="s">
        <v>401</v>
      </c>
      <c r="G90" s="8" t="s">
        <v>402</v>
      </c>
      <c r="H90" s="9" t="s">
        <v>403</v>
      </c>
    </row>
    <row r="91" spans="1:8" ht="60" x14ac:dyDescent="0.25">
      <c r="A91" s="6">
        <v>2</v>
      </c>
      <c r="B91" s="8" t="s">
        <v>404</v>
      </c>
      <c r="C91" s="8" t="s">
        <v>405</v>
      </c>
      <c r="D91" s="8" t="s">
        <v>406</v>
      </c>
      <c r="E91" s="20" t="s">
        <v>400</v>
      </c>
      <c r="F91" s="8" t="s">
        <v>407</v>
      </c>
      <c r="G91" s="8" t="s">
        <v>408</v>
      </c>
      <c r="H91" s="9" t="s">
        <v>409</v>
      </c>
    </row>
    <row r="92" spans="1:8" ht="45" x14ac:dyDescent="0.25">
      <c r="A92" s="6">
        <v>3</v>
      </c>
      <c r="B92" s="8" t="s">
        <v>410</v>
      </c>
      <c r="C92" s="8" t="s">
        <v>411</v>
      </c>
      <c r="D92" s="8" t="s">
        <v>412</v>
      </c>
      <c r="E92" s="20" t="s">
        <v>400</v>
      </c>
      <c r="F92" s="8" t="s">
        <v>407</v>
      </c>
      <c r="G92" s="8" t="s">
        <v>413</v>
      </c>
      <c r="H92" s="9" t="s">
        <v>414</v>
      </c>
    </row>
    <row r="93" spans="1:8" ht="45" x14ac:dyDescent="0.25">
      <c r="A93" s="6">
        <v>4</v>
      </c>
      <c r="B93" s="8" t="s">
        <v>415</v>
      </c>
      <c r="C93" s="8" t="s">
        <v>416</v>
      </c>
      <c r="D93" s="8" t="s">
        <v>417</v>
      </c>
      <c r="E93" s="20" t="s">
        <v>400</v>
      </c>
      <c r="F93" s="8" t="s">
        <v>418</v>
      </c>
      <c r="G93" s="8" t="s">
        <v>419</v>
      </c>
      <c r="H93" s="9" t="s">
        <v>420</v>
      </c>
    </row>
    <row r="94" spans="1:8" ht="90" x14ac:dyDescent="0.25">
      <c r="A94" s="6">
        <v>5</v>
      </c>
      <c r="B94" s="8" t="s">
        <v>421</v>
      </c>
      <c r="C94" s="8" t="s">
        <v>422</v>
      </c>
      <c r="D94" s="8" t="s">
        <v>423</v>
      </c>
      <c r="E94" s="20" t="s">
        <v>400</v>
      </c>
      <c r="F94" s="8" t="s">
        <v>297</v>
      </c>
      <c r="G94" s="8" t="s">
        <v>424</v>
      </c>
      <c r="H94" s="9" t="s">
        <v>425</v>
      </c>
    </row>
    <row r="95" spans="1:8" ht="60" x14ac:dyDescent="0.25">
      <c r="A95" s="6">
        <v>6</v>
      </c>
      <c r="B95" s="8" t="s">
        <v>426</v>
      </c>
      <c r="C95" s="8" t="s">
        <v>427</v>
      </c>
      <c r="D95" s="8" t="s">
        <v>428</v>
      </c>
      <c r="E95" s="20" t="s">
        <v>400</v>
      </c>
      <c r="F95" s="8" t="s">
        <v>429</v>
      </c>
      <c r="G95" s="8" t="s">
        <v>430</v>
      </c>
      <c r="H95" s="9" t="s">
        <v>431</v>
      </c>
    </row>
    <row r="96" spans="1:8" ht="45" x14ac:dyDescent="0.25">
      <c r="A96" s="6">
        <v>7</v>
      </c>
      <c r="B96" s="8" t="s">
        <v>432</v>
      </c>
      <c r="C96" s="8" t="s">
        <v>433</v>
      </c>
      <c r="D96" s="8" t="s">
        <v>434</v>
      </c>
      <c r="E96" s="20" t="s">
        <v>400</v>
      </c>
      <c r="F96" s="8" t="s">
        <v>297</v>
      </c>
      <c r="G96" s="8" t="s">
        <v>435</v>
      </c>
      <c r="H96" s="9" t="s">
        <v>436</v>
      </c>
    </row>
    <row r="97" spans="1:8" ht="75" x14ac:dyDescent="0.25">
      <c r="A97" s="6">
        <v>8</v>
      </c>
      <c r="B97" s="8" t="s">
        <v>437</v>
      </c>
      <c r="C97" s="8" t="s">
        <v>438</v>
      </c>
      <c r="D97" s="8" t="s">
        <v>439</v>
      </c>
      <c r="E97" s="20" t="s">
        <v>400</v>
      </c>
      <c r="F97" s="8" t="s">
        <v>440</v>
      </c>
      <c r="G97" s="8" t="s">
        <v>441</v>
      </c>
      <c r="H97" s="9" t="s">
        <v>442</v>
      </c>
    </row>
    <row r="98" spans="1:8" ht="60" x14ac:dyDescent="0.25">
      <c r="A98" s="6">
        <v>9</v>
      </c>
      <c r="B98" s="8" t="s">
        <v>443</v>
      </c>
      <c r="C98" s="8" t="s">
        <v>444</v>
      </c>
      <c r="D98" s="8" t="s">
        <v>445</v>
      </c>
      <c r="E98" s="20" t="s">
        <v>400</v>
      </c>
      <c r="F98" s="8" t="s">
        <v>446</v>
      </c>
      <c r="G98" s="8" t="s">
        <v>447</v>
      </c>
      <c r="H98" s="9" t="s">
        <v>448</v>
      </c>
    </row>
    <row r="99" spans="1:8" ht="75" x14ac:dyDescent="0.25">
      <c r="A99" s="6">
        <v>10</v>
      </c>
      <c r="B99" s="8" t="s">
        <v>449</v>
      </c>
      <c r="C99" s="8" t="s">
        <v>450</v>
      </c>
      <c r="D99" s="8" t="s">
        <v>451</v>
      </c>
      <c r="E99" s="20" t="s">
        <v>400</v>
      </c>
      <c r="F99" s="8" t="s">
        <v>446</v>
      </c>
      <c r="G99" s="8" t="s">
        <v>452</v>
      </c>
      <c r="H99" s="9" t="s">
        <v>453</v>
      </c>
    </row>
    <row r="100" spans="1:8" ht="75" x14ac:dyDescent="0.25">
      <c r="A100" s="6">
        <v>11</v>
      </c>
      <c r="B100" s="8" t="s">
        <v>454</v>
      </c>
      <c r="C100" s="8" t="s">
        <v>455</v>
      </c>
      <c r="D100" s="8" t="s">
        <v>456</v>
      </c>
      <c r="E100" s="20" t="s">
        <v>400</v>
      </c>
      <c r="F100" s="8" t="s">
        <v>457</v>
      </c>
      <c r="G100" s="8" t="s">
        <v>458</v>
      </c>
      <c r="H100" s="9" t="s">
        <v>459</v>
      </c>
    </row>
    <row r="101" spans="1:8" ht="75" x14ac:dyDescent="0.25">
      <c r="A101" s="6">
        <v>12</v>
      </c>
      <c r="B101" s="8" t="s">
        <v>460</v>
      </c>
      <c r="C101" s="8" t="s">
        <v>461</v>
      </c>
      <c r="D101" s="8" t="s">
        <v>462</v>
      </c>
      <c r="E101" s="20" t="s">
        <v>400</v>
      </c>
      <c r="F101" s="8" t="s">
        <v>457</v>
      </c>
      <c r="G101" s="8" t="s">
        <v>463</v>
      </c>
      <c r="H101" s="9" t="s">
        <v>464</v>
      </c>
    </row>
    <row r="102" spans="1:8" ht="75" x14ac:dyDescent="0.25">
      <c r="A102" s="6">
        <v>13</v>
      </c>
      <c r="B102" s="8" t="s">
        <v>465</v>
      </c>
      <c r="C102" s="8" t="s">
        <v>466</v>
      </c>
      <c r="D102" s="8" t="s">
        <v>467</v>
      </c>
      <c r="E102" s="20" t="s">
        <v>400</v>
      </c>
      <c r="F102" s="8" t="s">
        <v>457</v>
      </c>
      <c r="G102" s="8" t="s">
        <v>468</v>
      </c>
      <c r="H102" s="9" t="s">
        <v>469</v>
      </c>
    </row>
    <row r="103" spans="1:8" ht="75" x14ac:dyDescent="0.25">
      <c r="A103" s="11">
        <v>14</v>
      </c>
      <c r="B103" s="13" t="s">
        <v>470</v>
      </c>
      <c r="C103" s="13" t="s">
        <v>471</v>
      </c>
      <c r="D103" s="13" t="s">
        <v>472</v>
      </c>
      <c r="E103" s="21" t="s">
        <v>400</v>
      </c>
      <c r="F103" s="13" t="s">
        <v>401</v>
      </c>
      <c r="G103" s="13" t="s">
        <v>473</v>
      </c>
      <c r="H103" s="14" t="s">
        <v>474</v>
      </c>
    </row>
    <row r="104" spans="1:8" x14ac:dyDescent="0.25">
      <c r="A104" s="25"/>
      <c r="B104" s="25"/>
      <c r="C104" s="25"/>
      <c r="D104" s="25"/>
      <c r="E104" s="25"/>
      <c r="F104" s="25"/>
      <c r="G104" s="25"/>
      <c r="H104" s="25"/>
    </row>
    <row r="105" spans="1:8" ht="42" customHeight="1" x14ac:dyDescent="0.25">
      <c r="A105" s="110" t="s">
        <v>475</v>
      </c>
      <c r="B105" s="110"/>
      <c r="C105" s="110"/>
      <c r="D105" s="110"/>
      <c r="E105" s="110"/>
      <c r="F105" s="110"/>
      <c r="G105" s="110"/>
      <c r="H105" s="110"/>
    </row>
    <row r="107" spans="1:8" ht="23.1" customHeight="1" x14ac:dyDescent="0.25">
      <c r="A107" s="113" t="s">
        <v>476</v>
      </c>
      <c r="B107" s="113"/>
      <c r="C107" s="113"/>
      <c r="D107" s="113"/>
      <c r="E107" s="113"/>
      <c r="F107" s="113"/>
      <c r="G107" s="113"/>
      <c r="H107" s="113"/>
    </row>
    <row r="108" spans="1:8" ht="36" customHeight="1" x14ac:dyDescent="0.25">
      <c r="A108" s="110" t="s">
        <v>477</v>
      </c>
      <c r="B108" s="110"/>
      <c r="C108" s="110"/>
      <c r="D108" s="110"/>
      <c r="E108" s="110"/>
      <c r="F108" s="110"/>
      <c r="G108" s="110"/>
      <c r="H108" s="110"/>
    </row>
    <row r="109" spans="1:8" ht="36" customHeight="1" x14ac:dyDescent="0.25">
      <c r="A109" s="110"/>
      <c r="B109" s="110"/>
      <c r="C109" s="110"/>
      <c r="D109" s="110"/>
      <c r="E109" s="110"/>
      <c r="F109" s="110"/>
      <c r="G109" s="110"/>
      <c r="H109" s="110"/>
    </row>
    <row r="111" spans="1:8" ht="30" customHeight="1" x14ac:dyDescent="0.25">
      <c r="A111" s="2" t="s">
        <v>44</v>
      </c>
      <c r="B111" s="4" t="s">
        <v>478</v>
      </c>
      <c r="C111" s="4" t="s">
        <v>479</v>
      </c>
      <c r="D111" s="4" t="s">
        <v>480</v>
      </c>
      <c r="E111" s="4" t="s">
        <v>46</v>
      </c>
      <c r="F111" s="4" t="s">
        <v>481</v>
      </c>
      <c r="G111" s="4" t="s">
        <v>482</v>
      </c>
      <c r="H111" s="5" t="s">
        <v>483</v>
      </c>
    </row>
    <row r="112" spans="1:8" ht="30" x14ac:dyDescent="0.25">
      <c r="A112" s="26">
        <v>1</v>
      </c>
      <c r="B112" s="8" t="s">
        <v>421</v>
      </c>
      <c r="C112" s="8" t="s">
        <v>484</v>
      </c>
      <c r="D112" s="8" t="s">
        <v>485</v>
      </c>
      <c r="E112" s="27">
        <v>1</v>
      </c>
      <c r="F112" s="8" t="s">
        <v>486</v>
      </c>
      <c r="G112" s="28" t="s">
        <v>487</v>
      </c>
      <c r="H112" s="9" t="s">
        <v>488</v>
      </c>
    </row>
    <row r="113" spans="1:8" ht="30" x14ac:dyDescent="0.25">
      <c r="A113" s="26">
        <v>2</v>
      </c>
      <c r="B113" s="8" t="s">
        <v>421</v>
      </c>
      <c r="C113" s="8" t="s">
        <v>489</v>
      </c>
      <c r="D113" s="8" t="s">
        <v>490</v>
      </c>
      <c r="E113" s="27">
        <v>1</v>
      </c>
      <c r="F113" s="8" t="s">
        <v>491</v>
      </c>
      <c r="G113" s="29" t="s">
        <v>114</v>
      </c>
      <c r="H113" s="9" t="s">
        <v>492</v>
      </c>
    </row>
    <row r="114" spans="1:8" ht="30" x14ac:dyDescent="0.25">
      <c r="A114" s="26">
        <v>3</v>
      </c>
      <c r="B114" s="8" t="s">
        <v>83</v>
      </c>
      <c r="C114" s="8" t="s">
        <v>493</v>
      </c>
      <c r="D114" s="8" t="s">
        <v>494</v>
      </c>
      <c r="E114" s="27">
        <v>1</v>
      </c>
      <c r="F114" s="8" t="s">
        <v>495</v>
      </c>
      <c r="G114" s="30" t="s">
        <v>496</v>
      </c>
      <c r="H114" s="9" t="s">
        <v>497</v>
      </c>
    </row>
    <row r="115" spans="1:8" ht="30" x14ac:dyDescent="0.25">
      <c r="A115" s="26">
        <v>4</v>
      </c>
      <c r="B115" s="8" t="s">
        <v>83</v>
      </c>
      <c r="C115" s="8" t="s">
        <v>498</v>
      </c>
      <c r="D115" s="8" t="s">
        <v>499</v>
      </c>
      <c r="E115" s="27">
        <v>1</v>
      </c>
      <c r="F115" s="8" t="s">
        <v>500</v>
      </c>
      <c r="G115" s="29" t="s">
        <v>114</v>
      </c>
      <c r="H115" s="9" t="s">
        <v>501</v>
      </c>
    </row>
    <row r="116" spans="1:8" ht="45" x14ac:dyDescent="0.25">
      <c r="A116" s="26">
        <v>5</v>
      </c>
      <c r="B116" s="8" t="s">
        <v>83</v>
      </c>
      <c r="C116" s="8" t="s">
        <v>502</v>
      </c>
      <c r="D116" s="8" t="s">
        <v>503</v>
      </c>
      <c r="E116" s="27">
        <v>1</v>
      </c>
      <c r="F116" s="8" t="s">
        <v>504</v>
      </c>
      <c r="G116" s="29" t="s">
        <v>89</v>
      </c>
      <c r="H116" s="9" t="s">
        <v>505</v>
      </c>
    </row>
    <row r="117" spans="1:8" ht="30" x14ac:dyDescent="0.25">
      <c r="A117" s="26">
        <v>6</v>
      </c>
      <c r="B117" s="8" t="s">
        <v>506</v>
      </c>
      <c r="C117" s="8" t="s">
        <v>507</v>
      </c>
      <c r="D117" s="8" t="s">
        <v>508</v>
      </c>
      <c r="E117" s="27">
        <v>1</v>
      </c>
      <c r="F117" s="8" t="s">
        <v>509</v>
      </c>
      <c r="G117" s="30" t="s">
        <v>496</v>
      </c>
      <c r="H117" s="9" t="s">
        <v>510</v>
      </c>
    </row>
    <row r="118" spans="1:8" ht="30" x14ac:dyDescent="0.25">
      <c r="A118" s="26">
        <v>7</v>
      </c>
      <c r="B118" s="8" t="s">
        <v>506</v>
      </c>
      <c r="C118" s="8" t="s">
        <v>511</v>
      </c>
      <c r="D118" s="8" t="s">
        <v>512</v>
      </c>
      <c r="E118" s="27">
        <v>2</v>
      </c>
      <c r="F118" s="8" t="s">
        <v>513</v>
      </c>
      <c r="G118" s="29" t="s">
        <v>89</v>
      </c>
      <c r="H118" s="9" t="s">
        <v>514</v>
      </c>
    </row>
    <row r="119" spans="1:8" ht="45" x14ac:dyDescent="0.25">
      <c r="A119" s="26">
        <v>8</v>
      </c>
      <c r="B119" s="8" t="s">
        <v>506</v>
      </c>
      <c r="C119" s="8" t="s">
        <v>515</v>
      </c>
      <c r="D119" s="8" t="s">
        <v>516</v>
      </c>
      <c r="E119" s="27">
        <v>1</v>
      </c>
      <c r="F119" s="8" t="s">
        <v>517</v>
      </c>
      <c r="G119" s="30" t="s">
        <v>496</v>
      </c>
      <c r="H119" s="9" t="s">
        <v>518</v>
      </c>
    </row>
    <row r="120" spans="1:8" ht="45" x14ac:dyDescent="0.25">
      <c r="A120" s="26">
        <v>9</v>
      </c>
      <c r="B120" s="8" t="s">
        <v>519</v>
      </c>
      <c r="C120" s="8" t="s">
        <v>520</v>
      </c>
      <c r="D120" s="8" t="s">
        <v>521</v>
      </c>
      <c r="E120" s="27">
        <v>1</v>
      </c>
      <c r="F120" s="8" t="s">
        <v>522</v>
      </c>
      <c r="G120" s="30" t="s">
        <v>496</v>
      </c>
      <c r="H120" s="9" t="s">
        <v>523</v>
      </c>
    </row>
    <row r="121" spans="1:8" ht="30" x14ac:dyDescent="0.25">
      <c r="A121" s="26">
        <v>10</v>
      </c>
      <c r="B121" s="8" t="s">
        <v>524</v>
      </c>
      <c r="C121" s="8" t="s">
        <v>525</v>
      </c>
      <c r="D121" s="8" t="s">
        <v>526</v>
      </c>
      <c r="E121" s="27">
        <v>1</v>
      </c>
      <c r="F121" s="8" t="s">
        <v>527</v>
      </c>
      <c r="G121" s="30" t="s">
        <v>496</v>
      </c>
      <c r="H121" s="9" t="s">
        <v>528</v>
      </c>
    </row>
    <row r="122" spans="1:8" ht="30" x14ac:dyDescent="0.25">
      <c r="A122" s="26">
        <v>11</v>
      </c>
      <c r="B122" s="8" t="s">
        <v>524</v>
      </c>
      <c r="C122" s="8" t="s">
        <v>529</v>
      </c>
      <c r="D122" s="8" t="s">
        <v>530</v>
      </c>
      <c r="E122" s="27">
        <v>1</v>
      </c>
      <c r="F122" s="8" t="s">
        <v>531</v>
      </c>
      <c r="G122" s="30" t="s">
        <v>496</v>
      </c>
      <c r="H122" s="9" t="s">
        <v>532</v>
      </c>
    </row>
    <row r="123" spans="1:8" ht="60" x14ac:dyDescent="0.25">
      <c r="A123" s="26">
        <v>12</v>
      </c>
      <c r="B123" s="8" t="s">
        <v>524</v>
      </c>
      <c r="C123" s="8" t="s">
        <v>533</v>
      </c>
      <c r="D123" s="8" t="s">
        <v>534</v>
      </c>
      <c r="E123" s="27">
        <v>2</v>
      </c>
      <c r="F123" s="8" t="s">
        <v>535</v>
      </c>
      <c r="G123" s="29" t="s">
        <v>536</v>
      </c>
      <c r="H123" s="9" t="s">
        <v>537</v>
      </c>
    </row>
    <row r="124" spans="1:8" ht="45" x14ac:dyDescent="0.25">
      <c r="A124" s="26">
        <v>13</v>
      </c>
      <c r="B124" s="8" t="s">
        <v>538</v>
      </c>
      <c r="C124" s="8" t="s">
        <v>539</v>
      </c>
      <c r="D124" s="8" t="s">
        <v>540</v>
      </c>
      <c r="E124" s="27">
        <v>1</v>
      </c>
      <c r="F124" s="8" t="s">
        <v>541</v>
      </c>
      <c r="G124" s="29" t="s">
        <v>89</v>
      </c>
      <c r="H124" s="9" t="s">
        <v>542</v>
      </c>
    </row>
    <row r="125" spans="1:8" ht="60" x14ac:dyDescent="0.25">
      <c r="A125" s="26">
        <v>14</v>
      </c>
      <c r="B125" s="8" t="s">
        <v>538</v>
      </c>
      <c r="C125" s="8" t="s">
        <v>543</v>
      </c>
      <c r="D125" s="8" t="s">
        <v>544</v>
      </c>
      <c r="E125" s="27">
        <v>1</v>
      </c>
      <c r="F125" s="8" t="s">
        <v>545</v>
      </c>
      <c r="G125" s="29" t="s">
        <v>89</v>
      </c>
      <c r="H125" s="9" t="s">
        <v>546</v>
      </c>
    </row>
    <row r="126" spans="1:8" ht="45" x14ac:dyDescent="0.25">
      <c r="A126" s="26">
        <v>15</v>
      </c>
      <c r="B126" s="8" t="s">
        <v>538</v>
      </c>
      <c r="C126" s="8" t="s">
        <v>547</v>
      </c>
      <c r="D126" s="8" t="s">
        <v>548</v>
      </c>
      <c r="E126" s="27">
        <v>1</v>
      </c>
      <c r="F126" s="8" t="s">
        <v>549</v>
      </c>
      <c r="G126" s="30" t="s">
        <v>496</v>
      </c>
      <c r="H126" s="9" t="s">
        <v>550</v>
      </c>
    </row>
    <row r="127" spans="1:8" ht="30" x14ac:dyDescent="0.25">
      <c r="A127" s="26">
        <v>16</v>
      </c>
      <c r="B127" s="8" t="s">
        <v>551</v>
      </c>
      <c r="C127" s="8" t="s">
        <v>552</v>
      </c>
      <c r="D127" s="8" t="s">
        <v>553</v>
      </c>
      <c r="E127" s="27">
        <v>1</v>
      </c>
      <c r="F127" s="8" t="s">
        <v>554</v>
      </c>
      <c r="G127" s="31" t="s">
        <v>555</v>
      </c>
      <c r="H127" s="9" t="s">
        <v>556</v>
      </c>
    </row>
    <row r="128" spans="1:8" ht="45" x14ac:dyDescent="0.25">
      <c r="A128" s="26">
        <v>17</v>
      </c>
      <c r="B128" s="8" t="s">
        <v>551</v>
      </c>
      <c r="C128" s="8" t="s">
        <v>557</v>
      </c>
      <c r="D128" s="8" t="s">
        <v>558</v>
      </c>
      <c r="E128" s="27">
        <v>1</v>
      </c>
      <c r="F128" s="8" t="s">
        <v>559</v>
      </c>
      <c r="G128" s="30" t="s">
        <v>496</v>
      </c>
      <c r="H128" s="9" t="s">
        <v>560</v>
      </c>
    </row>
    <row r="129" spans="1:8" ht="45" x14ac:dyDescent="0.25">
      <c r="A129" s="26">
        <v>18</v>
      </c>
      <c r="B129" s="8" t="s">
        <v>551</v>
      </c>
      <c r="C129" s="8" t="s">
        <v>561</v>
      </c>
      <c r="D129" s="8" t="s">
        <v>548</v>
      </c>
      <c r="E129" s="27">
        <v>1</v>
      </c>
      <c r="F129" s="8" t="s">
        <v>562</v>
      </c>
      <c r="G129" s="30" t="s">
        <v>496</v>
      </c>
      <c r="H129" s="9" t="s">
        <v>563</v>
      </c>
    </row>
    <row r="130" spans="1:8" ht="45" x14ac:dyDescent="0.25">
      <c r="A130" s="26">
        <v>19</v>
      </c>
      <c r="B130" s="8" t="s">
        <v>564</v>
      </c>
      <c r="C130" s="8" t="s">
        <v>565</v>
      </c>
      <c r="D130" s="8" t="s">
        <v>566</v>
      </c>
      <c r="E130" s="27">
        <v>1</v>
      </c>
      <c r="F130" s="8" t="s">
        <v>567</v>
      </c>
      <c r="G130" s="29" t="s">
        <v>568</v>
      </c>
      <c r="H130" s="9" t="s">
        <v>569</v>
      </c>
    </row>
    <row r="131" spans="1:8" ht="45" x14ac:dyDescent="0.25">
      <c r="A131" s="26">
        <v>20</v>
      </c>
      <c r="B131" s="8" t="s">
        <v>570</v>
      </c>
      <c r="C131" s="8" t="s">
        <v>571</v>
      </c>
      <c r="D131" s="8" t="s">
        <v>572</v>
      </c>
      <c r="E131" s="27">
        <v>1</v>
      </c>
      <c r="F131" s="8" t="s">
        <v>573</v>
      </c>
      <c r="G131" s="31" t="s">
        <v>555</v>
      </c>
      <c r="H131" s="9" t="s">
        <v>574</v>
      </c>
    </row>
    <row r="132" spans="1:8" ht="30" x14ac:dyDescent="0.25">
      <c r="A132" s="26">
        <v>21</v>
      </c>
      <c r="B132" s="8" t="s">
        <v>382</v>
      </c>
      <c r="C132" s="8" t="s">
        <v>575</v>
      </c>
      <c r="D132" s="8" t="s">
        <v>576</v>
      </c>
      <c r="E132" s="27">
        <v>1</v>
      </c>
      <c r="F132" s="8" t="s">
        <v>577</v>
      </c>
      <c r="G132" s="29" t="s">
        <v>89</v>
      </c>
      <c r="H132" s="9" t="s">
        <v>578</v>
      </c>
    </row>
    <row r="133" spans="1:8" ht="30" x14ac:dyDescent="0.25">
      <c r="A133" s="26">
        <v>22</v>
      </c>
      <c r="B133" s="8" t="s">
        <v>382</v>
      </c>
      <c r="C133" s="8" t="s">
        <v>579</v>
      </c>
      <c r="D133" s="8" t="s">
        <v>544</v>
      </c>
      <c r="E133" s="27">
        <v>1</v>
      </c>
      <c r="F133" s="8" t="s">
        <v>580</v>
      </c>
      <c r="G133" s="29" t="s">
        <v>89</v>
      </c>
      <c r="H133" s="9" t="s">
        <v>581</v>
      </c>
    </row>
    <row r="134" spans="1:8" ht="30" x14ac:dyDescent="0.25">
      <c r="A134" s="26">
        <v>23</v>
      </c>
      <c r="B134" s="8" t="s">
        <v>582</v>
      </c>
      <c r="C134" s="8" t="s">
        <v>575</v>
      </c>
      <c r="D134" s="8" t="s">
        <v>583</v>
      </c>
      <c r="E134" s="27">
        <v>1</v>
      </c>
      <c r="F134" s="8" t="s">
        <v>584</v>
      </c>
      <c r="G134" s="29" t="s">
        <v>89</v>
      </c>
      <c r="H134" s="9" t="s">
        <v>585</v>
      </c>
    </row>
    <row r="135" spans="1:8" ht="30" x14ac:dyDescent="0.25">
      <c r="A135" s="26">
        <v>24</v>
      </c>
      <c r="B135" s="8" t="s">
        <v>582</v>
      </c>
      <c r="C135" s="8" t="s">
        <v>586</v>
      </c>
      <c r="D135" s="8" t="s">
        <v>544</v>
      </c>
      <c r="E135" s="27">
        <v>1</v>
      </c>
      <c r="F135" s="8" t="s">
        <v>580</v>
      </c>
      <c r="G135" s="29" t="s">
        <v>89</v>
      </c>
      <c r="H135" s="9" t="s">
        <v>587</v>
      </c>
    </row>
    <row r="136" spans="1:8" ht="45" x14ac:dyDescent="0.25">
      <c r="A136" s="26">
        <v>25</v>
      </c>
      <c r="B136" s="8" t="s">
        <v>588</v>
      </c>
      <c r="C136" s="8" t="s">
        <v>589</v>
      </c>
      <c r="D136" s="8" t="s">
        <v>590</v>
      </c>
      <c r="E136" s="27">
        <v>1</v>
      </c>
      <c r="F136" s="8" t="s">
        <v>591</v>
      </c>
      <c r="G136" s="29" t="s">
        <v>89</v>
      </c>
      <c r="H136" s="9" t="s">
        <v>592</v>
      </c>
    </row>
    <row r="137" spans="1:8" ht="45" x14ac:dyDescent="0.25">
      <c r="A137" s="26">
        <v>26</v>
      </c>
      <c r="B137" s="8" t="s">
        <v>593</v>
      </c>
      <c r="C137" s="8" t="s">
        <v>594</v>
      </c>
      <c r="D137" s="8" t="s">
        <v>595</v>
      </c>
      <c r="E137" s="27">
        <v>1</v>
      </c>
      <c r="F137" s="8" t="s">
        <v>596</v>
      </c>
      <c r="G137" s="30" t="s">
        <v>597</v>
      </c>
      <c r="H137" s="9" t="s">
        <v>598</v>
      </c>
    </row>
    <row r="138" spans="1:8" ht="30" x14ac:dyDescent="0.25">
      <c r="A138" s="26">
        <v>27</v>
      </c>
      <c r="B138" s="8" t="s">
        <v>593</v>
      </c>
      <c r="C138" s="8" t="s">
        <v>599</v>
      </c>
      <c r="D138" s="8" t="s">
        <v>600</v>
      </c>
      <c r="E138" s="27">
        <v>1</v>
      </c>
      <c r="F138" s="8" t="s">
        <v>601</v>
      </c>
      <c r="G138" s="31" t="s">
        <v>602</v>
      </c>
      <c r="H138" s="9" t="s">
        <v>603</v>
      </c>
    </row>
    <row r="139" spans="1:8" ht="30" x14ac:dyDescent="0.25">
      <c r="A139" s="26">
        <v>28</v>
      </c>
      <c r="B139" s="8" t="s">
        <v>593</v>
      </c>
      <c r="C139" s="8" t="s">
        <v>604</v>
      </c>
      <c r="D139" s="8" t="s">
        <v>605</v>
      </c>
      <c r="E139" s="27">
        <v>1</v>
      </c>
      <c r="F139" s="8" t="s">
        <v>606</v>
      </c>
      <c r="G139" s="30" t="s">
        <v>597</v>
      </c>
      <c r="H139" s="9" t="s">
        <v>607</v>
      </c>
    </row>
    <row r="140" spans="1:8" ht="30" x14ac:dyDescent="0.25">
      <c r="A140" s="26">
        <v>29</v>
      </c>
      <c r="B140" s="8" t="s">
        <v>608</v>
      </c>
      <c r="C140" s="8" t="s">
        <v>609</v>
      </c>
      <c r="D140" s="8" t="s">
        <v>610</v>
      </c>
      <c r="E140" s="27">
        <v>1</v>
      </c>
      <c r="F140" s="8" t="s">
        <v>611</v>
      </c>
      <c r="G140" s="30" t="s">
        <v>496</v>
      </c>
      <c r="H140" s="9" t="s">
        <v>612</v>
      </c>
    </row>
    <row r="141" spans="1:8" ht="30" x14ac:dyDescent="0.25">
      <c r="A141" s="26">
        <v>30</v>
      </c>
      <c r="B141" s="8" t="s">
        <v>608</v>
      </c>
      <c r="C141" s="8" t="s">
        <v>613</v>
      </c>
      <c r="D141" s="8" t="s">
        <v>614</v>
      </c>
      <c r="E141" s="27">
        <v>1</v>
      </c>
      <c r="F141" s="8" t="s">
        <v>615</v>
      </c>
      <c r="G141" s="30" t="s">
        <v>496</v>
      </c>
      <c r="H141" s="9" t="s">
        <v>616</v>
      </c>
    </row>
    <row r="142" spans="1:8" x14ac:dyDescent="0.25">
      <c r="A142" s="26">
        <v>31</v>
      </c>
      <c r="B142" s="8" t="s">
        <v>608</v>
      </c>
      <c r="C142" s="8" t="s">
        <v>617</v>
      </c>
      <c r="D142" s="8" t="s">
        <v>618</v>
      </c>
      <c r="E142" s="27">
        <v>1</v>
      </c>
      <c r="F142" s="8" t="s">
        <v>619</v>
      </c>
      <c r="G142" s="30" t="s">
        <v>496</v>
      </c>
      <c r="H142" s="9" t="s">
        <v>620</v>
      </c>
    </row>
    <row r="143" spans="1:8" ht="30" x14ac:dyDescent="0.25">
      <c r="A143" s="26">
        <v>32</v>
      </c>
      <c r="B143" s="8" t="s">
        <v>608</v>
      </c>
      <c r="C143" s="8" t="s">
        <v>621</v>
      </c>
      <c r="D143" s="8" t="s">
        <v>622</v>
      </c>
      <c r="E143" s="27">
        <v>1</v>
      </c>
      <c r="F143" s="8" t="s">
        <v>623</v>
      </c>
      <c r="G143" s="30" t="s">
        <v>496</v>
      </c>
      <c r="H143" s="9" t="s">
        <v>624</v>
      </c>
    </row>
    <row r="144" spans="1:8" ht="30" x14ac:dyDescent="0.25">
      <c r="A144" s="26">
        <v>33</v>
      </c>
      <c r="B144" s="8" t="s">
        <v>608</v>
      </c>
      <c r="C144" s="8" t="s">
        <v>625</v>
      </c>
      <c r="D144" s="8" t="s">
        <v>626</v>
      </c>
      <c r="E144" s="27">
        <v>1</v>
      </c>
      <c r="F144" s="8" t="s">
        <v>627</v>
      </c>
      <c r="G144" s="30" t="s">
        <v>496</v>
      </c>
      <c r="H144" s="9" t="s">
        <v>628</v>
      </c>
    </row>
    <row r="145" spans="1:8" ht="45" x14ac:dyDescent="0.25">
      <c r="A145" s="26">
        <v>34</v>
      </c>
      <c r="B145" s="8" t="s">
        <v>608</v>
      </c>
      <c r="C145" s="8" t="s">
        <v>629</v>
      </c>
      <c r="D145" s="8" t="s">
        <v>630</v>
      </c>
      <c r="E145" s="27">
        <v>1</v>
      </c>
      <c r="F145" s="8" t="s">
        <v>631</v>
      </c>
      <c r="G145" s="30" t="s">
        <v>496</v>
      </c>
      <c r="H145" s="9" t="s">
        <v>632</v>
      </c>
    </row>
    <row r="146" spans="1:8" ht="45" x14ac:dyDescent="0.25">
      <c r="A146" s="26">
        <v>35</v>
      </c>
      <c r="B146" s="8" t="s">
        <v>608</v>
      </c>
      <c r="C146" s="8" t="s">
        <v>633</v>
      </c>
      <c r="D146" s="8" t="s">
        <v>634</v>
      </c>
      <c r="E146" s="27">
        <v>3</v>
      </c>
      <c r="F146" s="8" t="s">
        <v>635</v>
      </c>
      <c r="G146" s="29" t="s">
        <v>114</v>
      </c>
      <c r="H146" s="9" t="s">
        <v>636</v>
      </c>
    </row>
    <row r="147" spans="1:8" ht="45" x14ac:dyDescent="0.25">
      <c r="A147" s="26">
        <v>36</v>
      </c>
      <c r="B147" s="8" t="s">
        <v>637</v>
      </c>
      <c r="C147" s="8" t="s">
        <v>638</v>
      </c>
      <c r="D147" s="8" t="s">
        <v>639</v>
      </c>
      <c r="E147" s="27">
        <v>20</v>
      </c>
      <c r="F147" s="8" t="s">
        <v>640</v>
      </c>
      <c r="G147" s="28" t="s">
        <v>641</v>
      </c>
      <c r="H147" s="9" t="s">
        <v>642</v>
      </c>
    </row>
    <row r="148" spans="1:8" ht="45" x14ac:dyDescent="0.25">
      <c r="A148" s="26">
        <v>37</v>
      </c>
      <c r="B148" s="8" t="s">
        <v>637</v>
      </c>
      <c r="C148" s="8" t="s">
        <v>643</v>
      </c>
      <c r="D148" s="8" t="s">
        <v>644</v>
      </c>
      <c r="E148" s="27">
        <v>8</v>
      </c>
      <c r="F148" s="8" t="s">
        <v>645</v>
      </c>
      <c r="G148" s="28" t="s">
        <v>641</v>
      </c>
      <c r="H148" s="9" t="s">
        <v>646</v>
      </c>
    </row>
    <row r="149" spans="1:8" ht="30" x14ac:dyDescent="0.25">
      <c r="A149" s="26">
        <v>38</v>
      </c>
      <c r="B149" s="8" t="s">
        <v>647</v>
      </c>
      <c r="C149" s="8" t="s">
        <v>648</v>
      </c>
      <c r="D149" s="8" t="s">
        <v>649</v>
      </c>
      <c r="E149" s="27">
        <v>1</v>
      </c>
      <c r="F149" s="8" t="s">
        <v>650</v>
      </c>
      <c r="G149" s="28" t="s">
        <v>651</v>
      </c>
      <c r="H149" s="9" t="s">
        <v>652</v>
      </c>
    </row>
    <row r="150" spans="1:8" ht="30" x14ac:dyDescent="0.25">
      <c r="A150" s="26">
        <v>39</v>
      </c>
      <c r="B150" s="8" t="s">
        <v>653</v>
      </c>
      <c r="C150" s="8" t="s">
        <v>654</v>
      </c>
      <c r="D150" s="8" t="s">
        <v>655</v>
      </c>
      <c r="E150" s="27">
        <v>1</v>
      </c>
      <c r="F150" s="8" t="s">
        <v>656</v>
      </c>
      <c r="G150" s="28" t="s">
        <v>651</v>
      </c>
      <c r="H150" s="9" t="s">
        <v>657</v>
      </c>
    </row>
    <row r="151" spans="1:8" ht="60" x14ac:dyDescent="0.25">
      <c r="A151" s="32">
        <v>40</v>
      </c>
      <c r="B151" s="13" t="s">
        <v>658</v>
      </c>
      <c r="C151" s="13" t="s">
        <v>659</v>
      </c>
      <c r="D151" s="13" t="s">
        <v>660</v>
      </c>
      <c r="E151" s="33">
        <v>1</v>
      </c>
      <c r="F151" s="13" t="s">
        <v>661</v>
      </c>
      <c r="G151" s="34" t="s">
        <v>651</v>
      </c>
      <c r="H151" s="14" t="s">
        <v>662</v>
      </c>
    </row>
    <row r="153" spans="1:8" ht="21" customHeight="1" x14ac:dyDescent="0.25">
      <c r="A153" s="112" t="s">
        <v>663</v>
      </c>
      <c r="B153" s="112"/>
      <c r="C153" s="112"/>
      <c r="D153" s="112"/>
      <c r="E153" s="112"/>
      <c r="F153" s="112"/>
      <c r="G153" s="112"/>
      <c r="H153" s="112"/>
    </row>
    <row r="154" spans="1:8" x14ac:dyDescent="0.25">
      <c r="A154" s="35">
        <v>1</v>
      </c>
      <c r="B154" s="35" t="s">
        <v>664</v>
      </c>
      <c r="C154" s="108" t="s">
        <v>665</v>
      </c>
      <c r="D154" s="108"/>
      <c r="E154" s="108"/>
      <c r="F154" s="108"/>
      <c r="G154" s="108"/>
      <c r="H154" s="108"/>
    </row>
    <row r="155" spans="1:8" x14ac:dyDescent="0.25">
      <c r="A155" s="35">
        <v>2</v>
      </c>
      <c r="B155" s="35" t="s">
        <v>666</v>
      </c>
      <c r="C155" s="108" t="s">
        <v>667</v>
      </c>
      <c r="D155" s="108"/>
      <c r="E155" s="108"/>
      <c r="F155" s="108"/>
      <c r="G155" s="108"/>
      <c r="H155" s="108"/>
    </row>
    <row r="156" spans="1:8" x14ac:dyDescent="0.25">
      <c r="A156" s="35">
        <v>3</v>
      </c>
      <c r="B156" s="35" t="s">
        <v>668</v>
      </c>
      <c r="C156" s="108" t="s">
        <v>669</v>
      </c>
      <c r="D156" s="108"/>
      <c r="E156" s="108"/>
      <c r="F156" s="108"/>
      <c r="G156" s="108"/>
      <c r="H156" s="108"/>
    </row>
    <row r="157" spans="1:8" x14ac:dyDescent="0.25">
      <c r="A157" s="35">
        <v>4</v>
      </c>
      <c r="B157" s="35" t="s">
        <v>570</v>
      </c>
      <c r="C157" s="108" t="s">
        <v>670</v>
      </c>
      <c r="D157" s="108"/>
      <c r="E157" s="108"/>
      <c r="F157" s="108"/>
      <c r="G157" s="108"/>
      <c r="H157" s="108"/>
    </row>
    <row r="158" spans="1:8" x14ac:dyDescent="0.25">
      <c r="A158" s="35">
        <v>5</v>
      </c>
      <c r="B158" s="35" t="s">
        <v>671</v>
      </c>
      <c r="C158" s="108" t="s">
        <v>672</v>
      </c>
      <c r="D158" s="108"/>
      <c r="E158" s="108"/>
      <c r="F158" s="108"/>
      <c r="G158" s="108"/>
      <c r="H158" s="108"/>
    </row>
    <row r="159" spans="1:8" x14ac:dyDescent="0.25">
      <c r="A159" s="35">
        <v>6</v>
      </c>
      <c r="B159" s="35" t="s">
        <v>673</v>
      </c>
      <c r="C159" s="108" t="s">
        <v>674</v>
      </c>
      <c r="D159" s="108"/>
      <c r="E159" s="108"/>
      <c r="F159" s="108"/>
      <c r="G159" s="108"/>
      <c r="H159" s="108"/>
    </row>
    <row r="161" spans="1:8" ht="21" customHeight="1" x14ac:dyDescent="0.25">
      <c r="A161" s="112" t="s">
        <v>675</v>
      </c>
      <c r="B161" s="112"/>
      <c r="C161" s="112"/>
      <c r="D161" s="112"/>
      <c r="E161" s="112"/>
      <c r="F161" s="112"/>
      <c r="G161" s="112"/>
      <c r="H161" s="112"/>
    </row>
    <row r="162" spans="1:8" ht="48.75" x14ac:dyDescent="0.25">
      <c r="A162" s="36" t="s">
        <v>676</v>
      </c>
      <c r="B162" s="36" t="s">
        <v>677</v>
      </c>
      <c r="C162" s="36" t="s">
        <v>678</v>
      </c>
      <c r="D162" s="36" t="s">
        <v>679</v>
      </c>
      <c r="E162" s="36" t="s">
        <v>494</v>
      </c>
      <c r="F162" s="36" t="s">
        <v>680</v>
      </c>
      <c r="G162" s="36"/>
      <c r="H162" s="36"/>
    </row>
    <row r="163" spans="1:8" ht="48.75" x14ac:dyDescent="0.25">
      <c r="A163" s="36" t="s">
        <v>681</v>
      </c>
      <c r="B163" s="36" t="s">
        <v>682</v>
      </c>
      <c r="C163" s="36" t="s">
        <v>683</v>
      </c>
      <c r="D163" s="36" t="s">
        <v>684</v>
      </c>
      <c r="E163" s="36" t="s">
        <v>685</v>
      </c>
      <c r="F163" s="36" t="s">
        <v>686</v>
      </c>
      <c r="G163" s="36"/>
      <c r="H163" s="36"/>
    </row>
    <row r="164" spans="1:8" ht="48.75" x14ac:dyDescent="0.25">
      <c r="A164" s="36" t="s">
        <v>687</v>
      </c>
      <c r="B164" s="36" t="s">
        <v>688</v>
      </c>
      <c r="C164" s="36" t="s">
        <v>595</v>
      </c>
      <c r="D164" s="36" t="s">
        <v>689</v>
      </c>
      <c r="E164" s="36"/>
      <c r="F164" s="36"/>
      <c r="G164" s="36"/>
      <c r="H164" s="36"/>
    </row>
    <row r="165" spans="1:8" ht="36.75" x14ac:dyDescent="0.25">
      <c r="A165" s="36" t="s">
        <v>690</v>
      </c>
      <c r="B165" s="36" t="s">
        <v>691</v>
      </c>
      <c r="C165" s="36" t="s">
        <v>692</v>
      </c>
      <c r="D165" s="36" t="s">
        <v>693</v>
      </c>
      <c r="E165" s="36" t="s">
        <v>694</v>
      </c>
      <c r="F165" s="36" t="s">
        <v>695</v>
      </c>
      <c r="G165" s="36"/>
      <c r="H165" s="36"/>
    </row>
    <row r="166" spans="1:8" ht="36.75" x14ac:dyDescent="0.25">
      <c r="A166" s="36" t="s">
        <v>696</v>
      </c>
      <c r="B166" s="36" t="s">
        <v>697</v>
      </c>
      <c r="C166" s="36" t="s">
        <v>698</v>
      </c>
      <c r="D166" s="36" t="s">
        <v>699</v>
      </c>
      <c r="E166" s="36"/>
      <c r="F166" s="36"/>
      <c r="G166" s="36"/>
      <c r="H166" s="36"/>
    </row>
    <row r="167" spans="1:8" ht="36.75" x14ac:dyDescent="0.25">
      <c r="A167" s="36" t="s">
        <v>700</v>
      </c>
      <c r="B167" s="36" t="s">
        <v>701</v>
      </c>
      <c r="C167" s="36" t="s">
        <v>702</v>
      </c>
      <c r="D167" s="36" t="s">
        <v>703</v>
      </c>
      <c r="E167" s="36"/>
      <c r="F167" s="36"/>
      <c r="G167" s="36"/>
      <c r="H167" s="36"/>
    </row>
    <row r="168" spans="1:8" ht="48.75" x14ac:dyDescent="0.25">
      <c r="A168" s="36" t="s">
        <v>704</v>
      </c>
      <c r="B168" s="36" t="s">
        <v>705</v>
      </c>
      <c r="C168" s="36" t="s">
        <v>706</v>
      </c>
      <c r="D168" s="36" t="s">
        <v>707</v>
      </c>
      <c r="E168" s="36"/>
      <c r="F168" s="36"/>
      <c r="G168" s="36"/>
      <c r="H168" s="36"/>
    </row>
    <row r="169" spans="1:8" ht="36.75" x14ac:dyDescent="0.25">
      <c r="A169" s="36" t="s">
        <v>708</v>
      </c>
      <c r="B169" s="36" t="s">
        <v>709</v>
      </c>
      <c r="C169" s="36" t="s">
        <v>710</v>
      </c>
      <c r="D169" s="36" t="s">
        <v>711</v>
      </c>
      <c r="E169" s="36"/>
      <c r="F169" s="36"/>
      <c r="G169" s="36"/>
      <c r="H169" s="36"/>
    </row>
    <row r="170" spans="1:8" ht="60.75" x14ac:dyDescent="0.25">
      <c r="A170" s="36" t="s">
        <v>10</v>
      </c>
      <c r="B170" s="36" t="s">
        <v>712</v>
      </c>
      <c r="C170" s="36"/>
      <c r="D170" s="36"/>
      <c r="E170" s="36"/>
      <c r="F170" s="36"/>
      <c r="G170" s="36"/>
      <c r="H170" s="36"/>
    </row>
    <row r="172" spans="1:8" ht="23.1" customHeight="1" x14ac:dyDescent="0.25">
      <c r="A172" s="113" t="s">
        <v>713</v>
      </c>
      <c r="B172" s="113"/>
      <c r="C172" s="113"/>
      <c r="D172" s="113"/>
      <c r="E172" s="113"/>
      <c r="F172" s="113"/>
      <c r="G172" s="113"/>
      <c r="H172" s="113"/>
    </row>
    <row r="173" spans="1:8" ht="36" customHeight="1" x14ac:dyDescent="0.25">
      <c r="A173" s="110" t="s">
        <v>714</v>
      </c>
      <c r="B173" s="110"/>
      <c r="C173" s="110"/>
      <c r="D173" s="110"/>
      <c r="E173" s="110"/>
      <c r="F173" s="110"/>
      <c r="G173" s="110"/>
      <c r="H173" s="110"/>
    </row>
    <row r="174" spans="1:8" ht="36" customHeight="1" x14ac:dyDescent="0.25">
      <c r="A174" s="110"/>
      <c r="B174" s="110"/>
      <c r="C174" s="110"/>
      <c r="D174" s="110"/>
      <c r="E174" s="110"/>
      <c r="F174" s="110"/>
      <c r="G174" s="110"/>
      <c r="H174" s="110"/>
    </row>
    <row r="175" spans="1:8" ht="36" customHeight="1" x14ac:dyDescent="0.25">
      <c r="A175" s="110"/>
      <c r="B175" s="110"/>
      <c r="C175" s="110"/>
      <c r="D175" s="110"/>
      <c r="E175" s="110"/>
      <c r="F175" s="110"/>
      <c r="G175" s="110"/>
      <c r="H175" s="110"/>
    </row>
    <row r="177" spans="1:8" ht="30" customHeight="1" x14ac:dyDescent="0.25">
      <c r="A177" s="2" t="s">
        <v>715</v>
      </c>
      <c r="B177" s="4" t="s">
        <v>716</v>
      </c>
      <c r="C177" s="4" t="s">
        <v>717</v>
      </c>
      <c r="D177" s="4" t="s">
        <v>718</v>
      </c>
      <c r="E177" s="4" t="s">
        <v>719</v>
      </c>
      <c r="F177" s="4" t="s">
        <v>720</v>
      </c>
      <c r="G177" s="4" t="s">
        <v>394</v>
      </c>
      <c r="H177" s="5" t="s">
        <v>721</v>
      </c>
    </row>
    <row r="178" spans="1:8" ht="30" x14ac:dyDescent="0.25">
      <c r="A178" s="6" t="s">
        <v>722</v>
      </c>
      <c r="B178" s="8" t="s">
        <v>723</v>
      </c>
      <c r="C178" s="8" t="s">
        <v>724</v>
      </c>
      <c r="D178" s="8" t="s">
        <v>725</v>
      </c>
      <c r="E178" s="8" t="s">
        <v>726</v>
      </c>
      <c r="F178" s="8" t="s">
        <v>727</v>
      </c>
      <c r="G178" s="37" t="s">
        <v>728</v>
      </c>
      <c r="H178" s="9" t="s">
        <v>729</v>
      </c>
    </row>
    <row r="179" spans="1:8" ht="45" x14ac:dyDescent="0.25">
      <c r="A179" s="6" t="s">
        <v>730</v>
      </c>
      <c r="B179" s="8" t="s">
        <v>731</v>
      </c>
      <c r="C179" s="8" t="s">
        <v>732</v>
      </c>
      <c r="D179" s="8" t="s">
        <v>733</v>
      </c>
      <c r="E179" s="8" t="s">
        <v>734</v>
      </c>
      <c r="F179" s="8" t="s">
        <v>735</v>
      </c>
      <c r="G179" s="38" t="s">
        <v>736</v>
      </c>
      <c r="H179" s="9" t="s">
        <v>737</v>
      </c>
    </row>
    <row r="180" spans="1:8" ht="45" x14ac:dyDescent="0.25">
      <c r="A180" s="6" t="s">
        <v>738</v>
      </c>
      <c r="B180" s="8" t="s">
        <v>739</v>
      </c>
      <c r="C180" s="8" t="s">
        <v>740</v>
      </c>
      <c r="D180" s="8" t="s">
        <v>733</v>
      </c>
      <c r="E180" s="8" t="s">
        <v>734</v>
      </c>
      <c r="F180" s="8" t="s">
        <v>741</v>
      </c>
      <c r="G180" s="38" t="s">
        <v>736</v>
      </c>
      <c r="H180" s="9" t="s">
        <v>742</v>
      </c>
    </row>
    <row r="181" spans="1:8" ht="30" x14ac:dyDescent="0.25">
      <c r="A181" s="6" t="s">
        <v>743</v>
      </c>
      <c r="B181" s="8" t="s">
        <v>744</v>
      </c>
      <c r="C181" s="8" t="s">
        <v>745</v>
      </c>
      <c r="D181" s="8" t="s">
        <v>746</v>
      </c>
      <c r="E181" s="8" t="s">
        <v>747</v>
      </c>
      <c r="F181" s="8" t="s">
        <v>748</v>
      </c>
      <c r="G181" s="38" t="s">
        <v>736</v>
      </c>
      <c r="H181" s="9" t="s">
        <v>749</v>
      </c>
    </row>
    <row r="182" spans="1:8" ht="30" x14ac:dyDescent="0.25">
      <c r="A182" s="6" t="s">
        <v>750</v>
      </c>
      <c r="B182" s="8" t="s">
        <v>751</v>
      </c>
      <c r="C182" s="8" t="s">
        <v>752</v>
      </c>
      <c r="D182" s="8" t="s">
        <v>753</v>
      </c>
      <c r="E182" s="8" t="s">
        <v>754</v>
      </c>
      <c r="F182" s="8" t="s">
        <v>755</v>
      </c>
      <c r="G182" s="37" t="s">
        <v>728</v>
      </c>
      <c r="H182" s="9" t="s">
        <v>756</v>
      </c>
    </row>
    <row r="183" spans="1:8" ht="30" x14ac:dyDescent="0.25">
      <c r="A183" s="6" t="s">
        <v>757</v>
      </c>
      <c r="B183" s="8" t="s">
        <v>758</v>
      </c>
      <c r="C183" s="8" t="s">
        <v>759</v>
      </c>
      <c r="D183" s="8" t="s">
        <v>760</v>
      </c>
      <c r="E183" s="8" t="s">
        <v>761</v>
      </c>
      <c r="F183" s="8" t="s">
        <v>762</v>
      </c>
      <c r="G183" s="38" t="s">
        <v>736</v>
      </c>
      <c r="H183" s="9" t="s">
        <v>763</v>
      </c>
    </row>
    <row r="184" spans="1:8" ht="30" x14ac:dyDescent="0.25">
      <c r="A184" s="11" t="s">
        <v>764</v>
      </c>
      <c r="B184" s="13" t="s">
        <v>765</v>
      </c>
      <c r="C184" s="13" t="s">
        <v>766</v>
      </c>
      <c r="D184" s="13" t="s">
        <v>767</v>
      </c>
      <c r="E184" s="13" t="s">
        <v>768</v>
      </c>
      <c r="F184" s="13" t="s">
        <v>769</v>
      </c>
      <c r="G184" s="39" t="s">
        <v>770</v>
      </c>
      <c r="H184" s="14" t="s">
        <v>771</v>
      </c>
    </row>
    <row r="186" spans="1:8" ht="21" customHeight="1" x14ac:dyDescent="0.25">
      <c r="A186" s="112" t="s">
        <v>772</v>
      </c>
      <c r="B186" s="112"/>
      <c r="C186" s="112"/>
      <c r="D186" s="112"/>
      <c r="E186" s="112"/>
      <c r="F186" s="112"/>
      <c r="G186" s="112"/>
      <c r="H186" s="112"/>
    </row>
    <row r="187" spans="1:8" x14ac:dyDescent="0.25">
      <c r="A187" s="35">
        <v>1</v>
      </c>
      <c r="B187" s="35" t="s">
        <v>773</v>
      </c>
      <c r="C187" s="35" t="s">
        <v>774</v>
      </c>
      <c r="D187" s="108" t="s">
        <v>775</v>
      </c>
      <c r="E187" s="108"/>
      <c r="F187" s="108"/>
      <c r="G187" s="108"/>
      <c r="H187" s="108"/>
    </row>
    <row r="188" spans="1:8" ht="26.25" x14ac:dyDescent="0.25">
      <c r="A188" s="35">
        <v>2</v>
      </c>
      <c r="B188" s="35" t="s">
        <v>776</v>
      </c>
      <c r="C188" s="35" t="s">
        <v>777</v>
      </c>
      <c r="D188" s="108" t="s">
        <v>778</v>
      </c>
      <c r="E188" s="108"/>
      <c r="F188" s="108"/>
      <c r="G188" s="108"/>
      <c r="H188" s="108"/>
    </row>
    <row r="189" spans="1:8" ht="26.25" x14ac:dyDescent="0.25">
      <c r="A189" s="35">
        <v>3</v>
      </c>
      <c r="B189" s="35" t="s">
        <v>779</v>
      </c>
      <c r="C189" s="35" t="s">
        <v>780</v>
      </c>
      <c r="D189" s="108" t="s">
        <v>781</v>
      </c>
      <c r="E189" s="108"/>
      <c r="F189" s="108"/>
      <c r="G189" s="108"/>
      <c r="H189" s="108"/>
    </row>
    <row r="190" spans="1:8" x14ac:dyDescent="0.25">
      <c r="A190" s="35">
        <v>4</v>
      </c>
      <c r="B190" s="35" t="s">
        <v>782</v>
      </c>
      <c r="C190" s="35" t="s">
        <v>783</v>
      </c>
      <c r="D190" s="108" t="s">
        <v>784</v>
      </c>
      <c r="E190" s="108"/>
      <c r="F190" s="108"/>
      <c r="G190" s="108"/>
      <c r="H190" s="108"/>
    </row>
    <row r="191" spans="1:8" x14ac:dyDescent="0.25">
      <c r="A191" s="35">
        <v>5</v>
      </c>
      <c r="B191" s="35" t="s">
        <v>785</v>
      </c>
      <c r="C191" s="35" t="s">
        <v>786</v>
      </c>
      <c r="D191" s="108" t="s">
        <v>787</v>
      </c>
      <c r="E191" s="108"/>
      <c r="F191" s="108"/>
      <c r="G191" s="108"/>
      <c r="H191" s="108"/>
    </row>
    <row r="193" spans="1:8" ht="27.95" customHeight="1" x14ac:dyDescent="0.25">
      <c r="A193" s="109" t="s">
        <v>788</v>
      </c>
      <c r="B193" s="109"/>
      <c r="C193" s="109"/>
      <c r="D193" s="109"/>
      <c r="E193" s="109"/>
      <c r="F193" s="109"/>
      <c r="G193" s="109"/>
      <c r="H193" s="109"/>
    </row>
    <row r="194" spans="1:8" ht="27.95" customHeight="1" x14ac:dyDescent="0.25">
      <c r="A194" s="106" t="s">
        <v>789</v>
      </c>
      <c r="B194" s="106"/>
      <c r="C194" s="106"/>
      <c r="D194" s="106"/>
      <c r="E194" s="106"/>
      <c r="F194" s="106"/>
      <c r="G194" s="106"/>
      <c r="H194" s="106"/>
    </row>
    <row r="196" spans="1:8" ht="15" customHeight="1" x14ac:dyDescent="0.25"/>
    <row r="197" spans="1:8" ht="15" customHeight="1" x14ac:dyDescent="0.25"/>
    <row r="198" spans="1:8" ht="15" customHeight="1" x14ac:dyDescent="0.25"/>
    <row r="199" spans="1:8" ht="15" customHeight="1" x14ac:dyDescent="0.25"/>
    <row r="200" spans="1:8" ht="15" customHeight="1" x14ac:dyDescent="0.25"/>
    <row r="201" spans="1:8" ht="15" customHeight="1" x14ac:dyDescent="0.25"/>
    <row r="202" spans="1:8" ht="15" customHeight="1" x14ac:dyDescent="0.25"/>
    <row r="203" spans="1:8" ht="15" customHeight="1" x14ac:dyDescent="0.25"/>
    <row r="204" spans="1:8" ht="15" customHeight="1" x14ac:dyDescent="0.25"/>
    <row r="205" spans="1:8" ht="15" customHeight="1" x14ac:dyDescent="0.25"/>
    <row r="206" spans="1:8" ht="15" customHeight="1" x14ac:dyDescent="0.25"/>
    <row r="207" spans="1:8" ht="15" customHeight="1" x14ac:dyDescent="0.25"/>
    <row r="208" spans="1:8" ht="15" customHeight="1" x14ac:dyDescent="0.25"/>
    <row r="209" customFormat="1" ht="15" customHeight="1" x14ac:dyDescent="0.25"/>
    <row r="210" customFormat="1" ht="15" customHeight="1" x14ac:dyDescent="0.25"/>
    <row r="211" customFormat="1" ht="15" customHeight="1" x14ac:dyDescent="0.25"/>
    <row r="212" customFormat="1" ht="15" customHeight="1" x14ac:dyDescent="0.25"/>
    <row r="213" customFormat="1" ht="15" customHeight="1" x14ac:dyDescent="0.25"/>
    <row r="214" customFormat="1" ht="15" customHeight="1" x14ac:dyDescent="0.25"/>
    <row r="215" customFormat="1" ht="15" customHeight="1" x14ac:dyDescent="0.25"/>
    <row r="216" customFormat="1" ht="15" customHeight="1" x14ac:dyDescent="0.25"/>
    <row r="217" customFormat="1" ht="15" customHeight="1" x14ac:dyDescent="0.25"/>
    <row r="218" customFormat="1" ht="15" customHeight="1" x14ac:dyDescent="0.25"/>
    <row r="219" customFormat="1" ht="15" customHeight="1" x14ac:dyDescent="0.25"/>
    <row r="220" customFormat="1" ht="15" customHeight="1" x14ac:dyDescent="0.25"/>
    <row r="221" customFormat="1" ht="15" customHeight="1" x14ac:dyDescent="0.25"/>
    <row r="222" customFormat="1" ht="15" customHeight="1" x14ac:dyDescent="0.25"/>
    <row r="223" customFormat="1" ht="15" customHeight="1" x14ac:dyDescent="0.25"/>
    <row r="224" customFormat="1" ht="15" customHeight="1" x14ac:dyDescent="0.25"/>
    <row r="225" customFormat="1" ht="15" customHeight="1" x14ac:dyDescent="0.25"/>
    <row r="226" customFormat="1" ht="15" customHeight="1" x14ac:dyDescent="0.25"/>
    <row r="227" customFormat="1" ht="15" customHeight="1" x14ac:dyDescent="0.25"/>
    <row r="228" customFormat="1" ht="15" customHeight="1" x14ac:dyDescent="0.25"/>
    <row r="229" customFormat="1" ht="15" customHeight="1" x14ac:dyDescent="0.25"/>
    <row r="230" customFormat="1" ht="15" customHeight="1" x14ac:dyDescent="0.25"/>
    <row r="231" customFormat="1" ht="15" customHeight="1" x14ac:dyDescent="0.25"/>
    <row r="232" customFormat="1" ht="15" customHeight="1" x14ac:dyDescent="0.25"/>
    <row r="233" customFormat="1" ht="15" customHeight="1" x14ac:dyDescent="0.25"/>
    <row r="234" customFormat="1" ht="15" customHeight="1" x14ac:dyDescent="0.25"/>
    <row r="235" customFormat="1" ht="15" customHeight="1" x14ac:dyDescent="0.25"/>
    <row r="236" customFormat="1" ht="15" customHeight="1" x14ac:dyDescent="0.25"/>
    <row r="237" customFormat="1" ht="15" customHeight="1" x14ac:dyDescent="0.25"/>
    <row r="238" customFormat="1" ht="15" customHeight="1" x14ac:dyDescent="0.25"/>
    <row r="239" customFormat="1" ht="15" customHeight="1" x14ac:dyDescent="0.25"/>
    <row r="240" customFormat="1" ht="15" customHeight="1" x14ac:dyDescent="0.25"/>
    <row r="241" spans="1:8" ht="15" customHeight="1" x14ac:dyDescent="0.25"/>
    <row r="242" spans="1:8" ht="15" customHeight="1" x14ac:dyDescent="0.25"/>
    <row r="243" spans="1:8" ht="15" customHeight="1" x14ac:dyDescent="0.25"/>
    <row r="244" spans="1:8" ht="15" customHeight="1" x14ac:dyDescent="0.25"/>
    <row r="245" spans="1:8" ht="15" customHeight="1" x14ac:dyDescent="0.25"/>
    <row r="246" spans="1:8" ht="15" customHeight="1" x14ac:dyDescent="0.25"/>
    <row r="247" spans="1:8" ht="15" customHeight="1" x14ac:dyDescent="0.25"/>
    <row r="248" spans="1:8" ht="15" customHeight="1" x14ac:dyDescent="0.25"/>
    <row r="249" spans="1:8" ht="15" customHeight="1" x14ac:dyDescent="0.25"/>
    <row r="250" spans="1:8" ht="15" customHeight="1" x14ac:dyDescent="0.25"/>
    <row r="251" spans="1:8" ht="15" customHeight="1" x14ac:dyDescent="0.25"/>
    <row r="252" spans="1:8" ht="15" customHeight="1" x14ac:dyDescent="0.25"/>
    <row r="253" spans="1:8" ht="15" customHeight="1" x14ac:dyDescent="0.25"/>
    <row r="254" spans="1:8" ht="38.1" customHeight="1" x14ac:dyDescent="0.25">
      <c r="A254" s="110" t="s">
        <v>790</v>
      </c>
      <c r="B254" s="110"/>
      <c r="C254" s="110"/>
      <c r="D254" s="110"/>
      <c r="E254" s="110"/>
      <c r="F254" s="110"/>
      <c r="G254" s="110"/>
      <c r="H254" s="110"/>
    </row>
    <row r="255" spans="1:8" ht="36" customHeight="1" x14ac:dyDescent="0.25">
      <c r="A255" s="111" t="s">
        <v>791</v>
      </c>
      <c r="B255" s="111"/>
      <c r="C255" s="111"/>
      <c r="D255" s="111"/>
      <c r="E255" s="111"/>
      <c r="F255" s="111"/>
      <c r="G255" s="111"/>
      <c r="H255" s="111"/>
    </row>
    <row r="257" spans="1:8" ht="27.95" customHeight="1" x14ac:dyDescent="0.25">
      <c r="A257" s="109" t="s">
        <v>792</v>
      </c>
      <c r="B257" s="109"/>
      <c r="C257" s="109"/>
      <c r="D257" s="109"/>
      <c r="E257" s="109"/>
      <c r="F257" s="109"/>
      <c r="G257" s="109"/>
      <c r="H257" s="109"/>
    </row>
    <row r="258" spans="1:8" ht="24" customHeight="1" x14ac:dyDescent="0.25">
      <c r="A258" s="106" t="s">
        <v>793</v>
      </c>
      <c r="B258" s="106"/>
      <c r="C258" s="106"/>
      <c r="D258" s="106"/>
      <c r="E258" s="106"/>
      <c r="F258" s="106"/>
      <c r="G258" s="106"/>
      <c r="H258" s="106"/>
    </row>
    <row r="260" spans="1:8" ht="27.95" customHeight="1" x14ac:dyDescent="0.25">
      <c r="A260" s="107" t="s">
        <v>794</v>
      </c>
      <c r="B260" s="107"/>
      <c r="C260" s="107"/>
      <c r="D260" s="107"/>
      <c r="E260" s="107" t="s">
        <v>795</v>
      </c>
      <c r="F260" s="107"/>
      <c r="G260" s="107"/>
      <c r="H260" s="107"/>
    </row>
    <row r="261" spans="1:8" x14ac:dyDescent="0.25">
      <c r="A261" s="104" t="s">
        <v>796</v>
      </c>
      <c r="B261" s="104"/>
      <c r="C261" s="104"/>
      <c r="D261" s="104"/>
      <c r="E261" s="104" t="s">
        <v>797</v>
      </c>
      <c r="F261" s="104"/>
      <c r="G261" s="104"/>
      <c r="H261" s="104"/>
    </row>
    <row r="262" spans="1:8" x14ac:dyDescent="0.25">
      <c r="A262" s="103" t="s">
        <v>798</v>
      </c>
      <c r="B262" s="103"/>
      <c r="C262" s="103"/>
      <c r="D262" s="103"/>
      <c r="E262" s="103" t="s">
        <v>799</v>
      </c>
      <c r="F262" s="103"/>
      <c r="G262" s="103"/>
      <c r="H262" s="103"/>
    </row>
    <row r="263" spans="1:8" x14ac:dyDescent="0.25">
      <c r="A263" s="104" t="s">
        <v>494</v>
      </c>
      <c r="B263" s="104"/>
      <c r="C263" s="104"/>
      <c r="D263" s="104"/>
      <c r="E263" s="104" t="s">
        <v>800</v>
      </c>
      <c r="F263" s="104"/>
      <c r="G263" s="104"/>
      <c r="H263" s="104"/>
    </row>
    <row r="264" spans="1:8" x14ac:dyDescent="0.25">
      <c r="A264" s="103" t="s">
        <v>801</v>
      </c>
      <c r="B264" s="103"/>
      <c r="C264" s="103"/>
      <c r="D264" s="103"/>
      <c r="E264" s="103" t="s">
        <v>802</v>
      </c>
      <c r="F264" s="103"/>
      <c r="G264" s="103"/>
      <c r="H264" s="103"/>
    </row>
    <row r="265" spans="1:8" x14ac:dyDescent="0.25">
      <c r="A265" s="104" t="s">
        <v>503</v>
      </c>
      <c r="B265" s="104"/>
      <c r="C265" s="104"/>
      <c r="D265" s="104"/>
      <c r="E265" s="104" t="s">
        <v>803</v>
      </c>
      <c r="F265" s="104"/>
      <c r="G265" s="104"/>
      <c r="H265" s="104"/>
    </row>
    <row r="266" spans="1:8" x14ac:dyDescent="0.25">
      <c r="A266" s="103" t="s">
        <v>553</v>
      </c>
      <c r="B266" s="103"/>
      <c r="C266" s="103"/>
      <c r="D266" s="103"/>
      <c r="E266" s="103" t="s">
        <v>804</v>
      </c>
      <c r="F266" s="103"/>
      <c r="G266" s="103"/>
      <c r="H266" s="103"/>
    </row>
    <row r="267" spans="1:8" x14ac:dyDescent="0.25">
      <c r="A267" s="104" t="s">
        <v>805</v>
      </c>
      <c r="B267" s="104"/>
      <c r="C267" s="104"/>
      <c r="D267" s="104"/>
      <c r="E267" s="104" t="s">
        <v>806</v>
      </c>
      <c r="F267" s="104"/>
      <c r="G267" s="104"/>
      <c r="H267" s="104"/>
    </row>
    <row r="268" spans="1:8" x14ac:dyDescent="0.25">
      <c r="A268" s="103" t="s">
        <v>512</v>
      </c>
      <c r="B268" s="103"/>
      <c r="C268" s="103"/>
      <c r="D268" s="103"/>
      <c r="E268" s="103" t="s">
        <v>807</v>
      </c>
      <c r="F268" s="103"/>
      <c r="G268" s="103"/>
      <c r="H268" s="103"/>
    </row>
    <row r="269" spans="1:8" x14ac:dyDescent="0.25">
      <c r="A269" s="104" t="s">
        <v>516</v>
      </c>
      <c r="B269" s="104"/>
      <c r="C269" s="104"/>
      <c r="D269" s="104"/>
      <c r="E269" s="104" t="s">
        <v>808</v>
      </c>
      <c r="F269" s="104"/>
      <c r="G269" s="104"/>
      <c r="H269" s="104"/>
    </row>
    <row r="270" spans="1:8" x14ac:dyDescent="0.25">
      <c r="A270" s="103" t="s">
        <v>704</v>
      </c>
      <c r="B270" s="103"/>
      <c r="C270" s="103"/>
      <c r="D270" s="103"/>
      <c r="E270" s="103" t="s">
        <v>809</v>
      </c>
      <c r="F270" s="103"/>
      <c r="G270" s="103"/>
      <c r="H270" s="103"/>
    </row>
    <row r="271" spans="1:8" x14ac:dyDescent="0.25">
      <c r="A271" s="104" t="s">
        <v>683</v>
      </c>
      <c r="B271" s="104"/>
      <c r="C271" s="104"/>
      <c r="D271" s="104"/>
      <c r="E271" s="104" t="s">
        <v>810</v>
      </c>
      <c r="F271" s="104"/>
      <c r="G271" s="104"/>
      <c r="H271" s="104"/>
    </row>
    <row r="272" spans="1:8" x14ac:dyDescent="0.25">
      <c r="A272" s="103" t="s">
        <v>811</v>
      </c>
      <c r="B272" s="103"/>
      <c r="C272" s="103"/>
      <c r="D272" s="103"/>
      <c r="E272" s="103" t="s">
        <v>812</v>
      </c>
      <c r="F272" s="103"/>
      <c r="G272" s="103"/>
      <c r="H272" s="103"/>
    </row>
    <row r="273" spans="1:8" x14ac:dyDescent="0.25">
      <c r="A273" s="104" t="s">
        <v>813</v>
      </c>
      <c r="B273" s="104"/>
      <c r="C273" s="104"/>
      <c r="D273" s="104"/>
      <c r="E273" s="104" t="s">
        <v>814</v>
      </c>
      <c r="F273" s="104"/>
      <c r="G273" s="104"/>
      <c r="H273" s="104"/>
    </row>
    <row r="274" spans="1:8" x14ac:dyDescent="0.25">
      <c r="A274" s="103" t="s">
        <v>815</v>
      </c>
      <c r="B274" s="103"/>
      <c r="C274" s="103"/>
      <c r="D274" s="103"/>
      <c r="E274" s="103" t="s">
        <v>816</v>
      </c>
      <c r="F274" s="103"/>
      <c r="G274" s="103"/>
      <c r="H274" s="103"/>
    </row>
    <row r="275" spans="1:8" x14ac:dyDescent="0.25">
      <c r="A275" s="104" t="s">
        <v>817</v>
      </c>
      <c r="B275" s="104"/>
      <c r="C275" s="104"/>
      <c r="D275" s="104"/>
      <c r="E275" s="104" t="s">
        <v>818</v>
      </c>
      <c r="F275" s="104"/>
      <c r="G275" s="104"/>
      <c r="H275" s="104"/>
    </row>
    <row r="276" spans="1:8" x14ac:dyDescent="0.25">
      <c r="A276" s="103" t="s">
        <v>819</v>
      </c>
      <c r="B276" s="103"/>
      <c r="C276" s="103"/>
      <c r="D276" s="103"/>
      <c r="E276" s="103" t="s">
        <v>820</v>
      </c>
      <c r="F276" s="103"/>
      <c r="G276" s="103"/>
      <c r="H276" s="103"/>
    </row>
    <row r="277" spans="1:8" x14ac:dyDescent="0.25">
      <c r="A277" s="104" t="s">
        <v>821</v>
      </c>
      <c r="B277" s="104"/>
      <c r="C277" s="104"/>
      <c r="D277" s="104"/>
      <c r="E277" s="104" t="s">
        <v>822</v>
      </c>
      <c r="F277" s="104"/>
      <c r="G277" s="104"/>
      <c r="H277" s="104"/>
    </row>
    <row r="278" spans="1:8" x14ac:dyDescent="0.25">
      <c r="A278" s="103" t="s">
        <v>823</v>
      </c>
      <c r="B278" s="103"/>
      <c r="C278" s="103"/>
      <c r="D278" s="103"/>
      <c r="E278" s="103" t="s">
        <v>824</v>
      </c>
      <c r="F278" s="103"/>
      <c r="G278" s="103"/>
      <c r="H278" s="103"/>
    </row>
    <row r="279" spans="1:8" x14ac:dyDescent="0.25">
      <c r="A279" s="104" t="s">
        <v>825</v>
      </c>
      <c r="B279" s="104"/>
      <c r="C279" s="104"/>
      <c r="D279" s="104"/>
      <c r="E279" s="104" t="s">
        <v>826</v>
      </c>
      <c r="F279" s="104"/>
      <c r="G279" s="104"/>
      <c r="H279" s="104"/>
    </row>
    <row r="280" spans="1:8" x14ac:dyDescent="0.25">
      <c r="A280" s="103" t="s">
        <v>827</v>
      </c>
      <c r="B280" s="103"/>
      <c r="C280" s="103"/>
      <c r="D280" s="103"/>
      <c r="E280" s="103" t="s">
        <v>828</v>
      </c>
      <c r="F280" s="103"/>
      <c r="G280" s="103"/>
      <c r="H280" s="103"/>
    </row>
    <row r="281" spans="1:8" x14ac:dyDescent="0.25">
      <c r="A281" s="104" t="s">
        <v>829</v>
      </c>
      <c r="B281" s="104"/>
      <c r="C281" s="104"/>
      <c r="D281" s="104"/>
      <c r="E281" s="104" t="s">
        <v>830</v>
      </c>
      <c r="F281" s="104"/>
      <c r="G281" s="104"/>
      <c r="H281" s="104"/>
    </row>
    <row r="282" spans="1:8" x14ac:dyDescent="0.25">
      <c r="A282" s="103" t="s">
        <v>831</v>
      </c>
      <c r="B282" s="103"/>
      <c r="C282" s="103"/>
      <c r="D282" s="103"/>
      <c r="E282" s="103" t="s">
        <v>832</v>
      </c>
      <c r="F282" s="103"/>
      <c r="G282" s="103"/>
      <c r="H282" s="103"/>
    </row>
    <row r="283" spans="1:8" x14ac:dyDescent="0.25">
      <c r="A283" s="104" t="s">
        <v>833</v>
      </c>
      <c r="B283" s="104"/>
      <c r="C283" s="104"/>
      <c r="D283" s="104"/>
      <c r="E283" s="104" t="s">
        <v>834</v>
      </c>
      <c r="F283" s="104"/>
      <c r="G283" s="104"/>
      <c r="H283" s="104"/>
    </row>
    <row r="284" spans="1:8" x14ac:dyDescent="0.25">
      <c r="A284" s="103" t="s">
        <v>835</v>
      </c>
      <c r="B284" s="103"/>
      <c r="C284" s="103"/>
      <c r="D284" s="103"/>
      <c r="E284" s="103" t="s">
        <v>836</v>
      </c>
      <c r="F284" s="103"/>
      <c r="G284" s="103"/>
      <c r="H284" s="103"/>
    </row>
    <row r="285" spans="1:8" x14ac:dyDescent="0.25">
      <c r="A285" s="104" t="s">
        <v>837</v>
      </c>
      <c r="B285" s="104"/>
      <c r="C285" s="104"/>
      <c r="D285" s="104"/>
      <c r="E285" s="104" t="s">
        <v>838</v>
      </c>
      <c r="F285" s="104"/>
      <c r="G285" s="104"/>
      <c r="H285" s="104"/>
    </row>
    <row r="286" spans="1:8" x14ac:dyDescent="0.25">
      <c r="A286" s="103" t="s">
        <v>839</v>
      </c>
      <c r="B286" s="103"/>
      <c r="C286" s="103"/>
      <c r="D286" s="103"/>
      <c r="E286" s="103" t="s">
        <v>840</v>
      </c>
      <c r="F286" s="103"/>
      <c r="G286" s="103"/>
      <c r="H286" s="103"/>
    </row>
    <row r="287" spans="1:8" x14ac:dyDescent="0.25">
      <c r="A287" s="104" t="s">
        <v>706</v>
      </c>
      <c r="B287" s="104"/>
      <c r="C287" s="104"/>
      <c r="D287" s="104"/>
      <c r="E287" s="104" t="s">
        <v>841</v>
      </c>
      <c r="F287" s="104"/>
      <c r="G287" s="104"/>
      <c r="H287" s="104"/>
    </row>
    <row r="288" spans="1:8" x14ac:dyDescent="0.25">
      <c r="A288" s="103" t="s">
        <v>595</v>
      </c>
      <c r="B288" s="103"/>
      <c r="C288" s="103"/>
      <c r="D288" s="103"/>
      <c r="E288" s="103" t="s">
        <v>842</v>
      </c>
      <c r="F288" s="103"/>
      <c r="G288" s="103"/>
      <c r="H288" s="103"/>
    </row>
    <row r="289" spans="1:8" x14ac:dyDescent="0.25">
      <c r="A289" s="104" t="s">
        <v>600</v>
      </c>
      <c r="B289" s="104"/>
      <c r="C289" s="104"/>
      <c r="D289" s="104"/>
      <c r="E289" s="104" t="s">
        <v>843</v>
      </c>
      <c r="F289" s="104"/>
      <c r="G289" s="104"/>
      <c r="H289" s="104"/>
    </row>
    <row r="290" spans="1:8" x14ac:dyDescent="0.25">
      <c r="A290" s="103" t="s">
        <v>605</v>
      </c>
      <c r="B290" s="103"/>
      <c r="C290" s="103"/>
      <c r="D290" s="103"/>
      <c r="E290" s="103" t="s">
        <v>844</v>
      </c>
      <c r="F290" s="103"/>
      <c r="G290" s="103"/>
      <c r="H290" s="103"/>
    </row>
    <row r="291" spans="1:8" x14ac:dyDescent="0.25">
      <c r="A291" s="104" t="s">
        <v>845</v>
      </c>
      <c r="B291" s="104"/>
      <c r="C291" s="104"/>
      <c r="D291" s="104"/>
      <c r="E291" s="104" t="s">
        <v>846</v>
      </c>
      <c r="F291" s="104"/>
      <c r="G291" s="104"/>
      <c r="H291" s="104"/>
    </row>
    <row r="292" spans="1:8" x14ac:dyDescent="0.25">
      <c r="A292" s="103" t="s">
        <v>847</v>
      </c>
      <c r="B292" s="103"/>
      <c r="C292" s="103"/>
      <c r="D292" s="103"/>
      <c r="E292" s="103" t="s">
        <v>848</v>
      </c>
      <c r="F292" s="103"/>
      <c r="G292" s="103"/>
      <c r="H292" s="103"/>
    </row>
    <row r="293" spans="1:8" x14ac:dyDescent="0.25">
      <c r="A293" s="104" t="s">
        <v>278</v>
      </c>
      <c r="B293" s="104"/>
      <c r="C293" s="104"/>
      <c r="D293" s="104"/>
      <c r="E293" s="104" t="s">
        <v>849</v>
      </c>
      <c r="F293" s="104"/>
      <c r="G293" s="104"/>
      <c r="H293" s="104"/>
    </row>
    <row r="294" spans="1:8" x14ac:dyDescent="0.25">
      <c r="A294" s="103" t="s">
        <v>272</v>
      </c>
      <c r="B294" s="103"/>
      <c r="C294" s="103"/>
      <c r="D294" s="103"/>
      <c r="E294" s="103" t="s">
        <v>850</v>
      </c>
      <c r="F294" s="103"/>
      <c r="G294" s="103"/>
      <c r="H294" s="103"/>
    </row>
    <row r="295" spans="1:8" x14ac:dyDescent="0.25">
      <c r="A295" s="104" t="s">
        <v>530</v>
      </c>
      <c r="B295" s="104"/>
      <c r="C295" s="104"/>
      <c r="D295" s="104"/>
      <c r="E295" s="104" t="s">
        <v>851</v>
      </c>
      <c r="F295" s="104"/>
      <c r="G295" s="104"/>
      <c r="H295" s="104"/>
    </row>
    <row r="296" spans="1:8" x14ac:dyDescent="0.25">
      <c r="A296" s="103" t="s">
        <v>610</v>
      </c>
      <c r="B296" s="103"/>
      <c r="C296" s="103"/>
      <c r="D296" s="103"/>
      <c r="E296" s="103" t="s">
        <v>852</v>
      </c>
      <c r="F296" s="103"/>
      <c r="G296" s="103"/>
      <c r="H296" s="103"/>
    </row>
    <row r="297" spans="1:8" x14ac:dyDescent="0.25">
      <c r="A297" s="104" t="s">
        <v>614</v>
      </c>
      <c r="B297" s="104"/>
      <c r="C297" s="104"/>
      <c r="D297" s="104"/>
      <c r="E297" s="104" t="s">
        <v>853</v>
      </c>
      <c r="F297" s="104"/>
      <c r="G297" s="104"/>
      <c r="H297" s="104"/>
    </row>
    <row r="298" spans="1:8" x14ac:dyDescent="0.25">
      <c r="A298" s="103" t="s">
        <v>618</v>
      </c>
      <c r="B298" s="103"/>
      <c r="C298" s="103"/>
      <c r="D298" s="103"/>
      <c r="E298" s="103" t="s">
        <v>854</v>
      </c>
      <c r="F298" s="103"/>
      <c r="G298" s="103"/>
      <c r="H298" s="103"/>
    </row>
    <row r="299" spans="1:8" x14ac:dyDescent="0.25">
      <c r="A299" s="104" t="s">
        <v>622</v>
      </c>
      <c r="B299" s="104"/>
      <c r="C299" s="104"/>
      <c r="D299" s="104"/>
      <c r="E299" s="104" t="s">
        <v>855</v>
      </c>
      <c r="F299" s="104"/>
      <c r="G299" s="104"/>
      <c r="H299" s="104"/>
    </row>
    <row r="300" spans="1:8" x14ac:dyDescent="0.25">
      <c r="A300" s="103" t="s">
        <v>626</v>
      </c>
      <c r="B300" s="103"/>
      <c r="C300" s="103"/>
      <c r="D300" s="103"/>
      <c r="E300" s="103" t="s">
        <v>856</v>
      </c>
      <c r="F300" s="103"/>
      <c r="G300" s="103"/>
      <c r="H300" s="103"/>
    </row>
    <row r="301" spans="1:8" x14ac:dyDescent="0.25">
      <c r="A301" s="104" t="s">
        <v>630</v>
      </c>
      <c r="B301" s="104"/>
      <c r="C301" s="104"/>
      <c r="D301" s="104"/>
      <c r="E301" s="104" t="s">
        <v>857</v>
      </c>
      <c r="F301" s="104"/>
      <c r="G301" s="104"/>
      <c r="H301" s="104"/>
    </row>
    <row r="302" spans="1:8" x14ac:dyDescent="0.25">
      <c r="A302" s="103" t="s">
        <v>858</v>
      </c>
      <c r="B302" s="103"/>
      <c r="C302" s="103"/>
      <c r="D302" s="103"/>
      <c r="E302" s="103" t="s">
        <v>859</v>
      </c>
      <c r="F302" s="103"/>
      <c r="G302" s="103"/>
      <c r="H302" s="103"/>
    </row>
    <row r="303" spans="1:8" x14ac:dyDescent="0.25">
      <c r="A303" s="104" t="s">
        <v>860</v>
      </c>
      <c r="B303" s="104"/>
      <c r="C303" s="104"/>
      <c r="D303" s="104"/>
      <c r="E303" s="104" t="s">
        <v>861</v>
      </c>
      <c r="F303" s="104"/>
      <c r="G303" s="104"/>
      <c r="H303" s="104"/>
    </row>
    <row r="304" spans="1:8" x14ac:dyDescent="0.25">
      <c r="A304" s="103" t="s">
        <v>862</v>
      </c>
      <c r="B304" s="103"/>
      <c r="C304" s="103"/>
      <c r="D304" s="103"/>
      <c r="E304" s="103" t="s">
        <v>863</v>
      </c>
      <c r="F304" s="103"/>
      <c r="G304" s="103"/>
      <c r="H304" s="103"/>
    </row>
    <row r="305" spans="1:8" x14ac:dyDescent="0.25">
      <c r="A305" s="104" t="s">
        <v>864</v>
      </c>
      <c r="B305" s="104"/>
      <c r="C305" s="104"/>
      <c r="D305" s="104"/>
      <c r="E305" s="104" t="s">
        <v>865</v>
      </c>
      <c r="F305" s="104"/>
      <c r="G305" s="104"/>
      <c r="H305" s="104"/>
    </row>
    <row r="306" spans="1:8" x14ac:dyDescent="0.25">
      <c r="A306" s="103" t="s">
        <v>866</v>
      </c>
      <c r="B306" s="103"/>
      <c r="C306" s="103"/>
      <c r="D306" s="103"/>
      <c r="E306" s="103" t="s">
        <v>867</v>
      </c>
      <c r="F306" s="103"/>
      <c r="G306" s="103"/>
      <c r="H306" s="103"/>
    </row>
    <row r="307" spans="1:8" x14ac:dyDescent="0.25">
      <c r="A307" s="104" t="s">
        <v>868</v>
      </c>
      <c r="B307" s="104"/>
      <c r="C307" s="104"/>
      <c r="D307" s="104"/>
      <c r="E307" s="104" t="s">
        <v>869</v>
      </c>
      <c r="F307" s="104"/>
      <c r="G307" s="104"/>
      <c r="H307" s="104"/>
    </row>
    <row r="308" spans="1:8" x14ac:dyDescent="0.25">
      <c r="A308" s="103" t="s">
        <v>870</v>
      </c>
      <c r="B308" s="103"/>
      <c r="C308" s="103"/>
      <c r="D308" s="103"/>
      <c r="E308" s="103" t="s">
        <v>871</v>
      </c>
      <c r="F308" s="103"/>
      <c r="G308" s="103"/>
      <c r="H308" s="103"/>
    </row>
    <row r="309" spans="1:8" x14ac:dyDescent="0.25">
      <c r="A309" s="104" t="s">
        <v>872</v>
      </c>
      <c r="B309" s="104"/>
      <c r="C309" s="104"/>
      <c r="D309" s="104"/>
      <c r="E309" s="104" t="s">
        <v>873</v>
      </c>
      <c r="F309" s="104"/>
      <c r="G309" s="104"/>
      <c r="H309" s="104"/>
    </row>
    <row r="310" spans="1:8" x14ac:dyDescent="0.25">
      <c r="A310" s="103" t="s">
        <v>874</v>
      </c>
      <c r="B310" s="103"/>
      <c r="C310" s="103"/>
      <c r="D310" s="103"/>
      <c r="E310" s="103" t="s">
        <v>875</v>
      </c>
      <c r="F310" s="103"/>
      <c r="G310" s="103"/>
      <c r="H310" s="103"/>
    </row>
    <row r="311" spans="1:8" x14ac:dyDescent="0.25">
      <c r="A311" s="104" t="s">
        <v>876</v>
      </c>
      <c r="B311" s="104"/>
      <c r="C311" s="104"/>
      <c r="D311" s="104"/>
      <c r="E311" s="104" t="s">
        <v>877</v>
      </c>
      <c r="F311" s="104"/>
      <c r="G311" s="104"/>
      <c r="H311" s="104"/>
    </row>
    <row r="312" spans="1:8" x14ac:dyDescent="0.25">
      <c r="A312" s="103" t="s">
        <v>878</v>
      </c>
      <c r="B312" s="103"/>
      <c r="C312" s="103"/>
      <c r="D312" s="103"/>
      <c r="E312" s="103" t="s">
        <v>879</v>
      </c>
      <c r="F312" s="103"/>
      <c r="G312" s="103"/>
      <c r="H312" s="103"/>
    </row>
    <row r="313" spans="1:8" x14ac:dyDescent="0.25">
      <c r="A313" s="104" t="s">
        <v>880</v>
      </c>
      <c r="B313" s="104"/>
      <c r="C313" s="104"/>
      <c r="D313" s="104"/>
      <c r="E313" s="104" t="s">
        <v>881</v>
      </c>
      <c r="F313" s="104"/>
      <c r="G313" s="104"/>
      <c r="H313" s="104"/>
    </row>
    <row r="314" spans="1:8" x14ac:dyDescent="0.25">
      <c r="A314" s="103" t="s">
        <v>882</v>
      </c>
      <c r="B314" s="103"/>
      <c r="C314" s="103"/>
      <c r="D314" s="103"/>
      <c r="E314" s="103" t="s">
        <v>883</v>
      </c>
      <c r="F314" s="103"/>
      <c r="G314" s="103"/>
      <c r="H314" s="103"/>
    </row>
    <row r="315" spans="1:8" x14ac:dyDescent="0.25">
      <c r="A315" s="104" t="s">
        <v>884</v>
      </c>
      <c r="B315" s="104"/>
      <c r="C315" s="104"/>
      <c r="D315" s="104"/>
      <c r="E315" s="104" t="s">
        <v>885</v>
      </c>
      <c r="F315" s="104"/>
      <c r="G315" s="104"/>
      <c r="H315" s="104"/>
    </row>
    <row r="316" spans="1:8" x14ac:dyDescent="0.25">
      <c r="A316" s="103" t="s">
        <v>886</v>
      </c>
      <c r="B316" s="103"/>
      <c r="C316" s="103"/>
      <c r="D316" s="103"/>
      <c r="E316" s="103" t="s">
        <v>887</v>
      </c>
      <c r="F316" s="103"/>
      <c r="G316" s="103"/>
      <c r="H316" s="103"/>
    </row>
    <row r="317" spans="1:8" x14ac:dyDescent="0.25">
      <c r="A317" s="104" t="s">
        <v>888</v>
      </c>
      <c r="B317" s="104"/>
      <c r="C317" s="104"/>
      <c r="D317" s="104"/>
      <c r="E317" s="104" t="s">
        <v>889</v>
      </c>
      <c r="F317" s="104"/>
      <c r="G317" s="104"/>
      <c r="H317" s="104"/>
    </row>
    <row r="318" spans="1:8" x14ac:dyDescent="0.25">
      <c r="A318" s="103" t="s">
        <v>890</v>
      </c>
      <c r="B318" s="103"/>
      <c r="C318" s="103"/>
      <c r="D318" s="103"/>
      <c r="E318" s="103" t="s">
        <v>891</v>
      </c>
      <c r="F318" s="103"/>
      <c r="G318" s="103"/>
      <c r="H318" s="103"/>
    </row>
    <row r="319" spans="1:8" x14ac:dyDescent="0.25">
      <c r="A319" s="104" t="s">
        <v>892</v>
      </c>
      <c r="B319" s="104"/>
      <c r="C319" s="104"/>
      <c r="D319" s="104"/>
      <c r="E319" s="104" t="s">
        <v>893</v>
      </c>
      <c r="F319" s="104"/>
      <c r="G319" s="104"/>
      <c r="H319" s="104"/>
    </row>
    <row r="320" spans="1:8" x14ac:dyDescent="0.25">
      <c r="A320" s="103" t="s">
        <v>894</v>
      </c>
      <c r="B320" s="103"/>
      <c r="C320" s="103"/>
      <c r="D320" s="103"/>
      <c r="E320" s="103" t="s">
        <v>895</v>
      </c>
      <c r="F320" s="103"/>
      <c r="G320" s="103"/>
      <c r="H320" s="103"/>
    </row>
    <row r="321" spans="1:8" x14ac:dyDescent="0.25">
      <c r="A321" s="104" t="s">
        <v>896</v>
      </c>
      <c r="B321" s="104"/>
      <c r="C321" s="104"/>
      <c r="D321" s="104"/>
      <c r="E321" s="104" t="s">
        <v>897</v>
      </c>
      <c r="F321" s="104"/>
      <c r="G321" s="104"/>
      <c r="H321" s="104"/>
    </row>
    <row r="322" spans="1:8" x14ac:dyDescent="0.25">
      <c r="A322" s="105" t="s">
        <v>898</v>
      </c>
      <c r="B322" s="105"/>
      <c r="C322" s="105"/>
      <c r="D322" s="105"/>
      <c r="E322" s="105" t="s">
        <v>899</v>
      </c>
      <c r="F322" s="105"/>
      <c r="G322" s="105"/>
      <c r="H322" s="105"/>
    </row>
    <row r="325" spans="1:8" ht="18.75" x14ac:dyDescent="0.25">
      <c r="A325" s="91" t="s">
        <v>900</v>
      </c>
      <c r="B325" s="91"/>
      <c r="C325" s="91"/>
      <c r="D325" s="91"/>
      <c r="E325" s="91"/>
      <c r="F325" s="91"/>
      <c r="G325" s="91"/>
      <c r="H325" s="91"/>
    </row>
    <row r="326" spans="1:8" x14ac:dyDescent="0.25">
      <c r="A326" s="92" t="s">
        <v>901</v>
      </c>
      <c r="B326" s="92"/>
      <c r="C326" s="92"/>
      <c r="D326" s="92"/>
      <c r="E326" s="92"/>
      <c r="F326" s="92"/>
      <c r="G326" s="92"/>
      <c r="H326" s="92"/>
    </row>
    <row r="327" spans="1:8" x14ac:dyDescent="0.25">
      <c r="A327" s="92"/>
      <c r="B327" s="92"/>
      <c r="C327" s="92"/>
      <c r="D327" s="92"/>
      <c r="E327" s="92"/>
      <c r="F327" s="92"/>
      <c r="G327" s="92"/>
      <c r="H327" s="92"/>
    </row>
    <row r="328" spans="1:8" x14ac:dyDescent="0.25">
      <c r="A328" s="40"/>
      <c r="B328" s="40"/>
      <c r="C328" s="40"/>
      <c r="D328" s="40"/>
      <c r="E328" s="40"/>
      <c r="F328" s="40"/>
      <c r="G328" s="40"/>
      <c r="H328" s="40"/>
    </row>
    <row r="329" spans="1:8" x14ac:dyDescent="0.25">
      <c r="A329" s="93" t="s">
        <v>902</v>
      </c>
      <c r="B329" s="93"/>
      <c r="C329" s="93"/>
      <c r="D329" s="93"/>
      <c r="E329" s="93"/>
      <c r="F329" s="93"/>
      <c r="G329" s="93"/>
      <c r="H329" s="93"/>
    </row>
    <row r="330" spans="1:8" ht="24" x14ac:dyDescent="0.25">
      <c r="A330" s="41" t="s">
        <v>903</v>
      </c>
      <c r="B330" s="41" t="s">
        <v>904</v>
      </c>
      <c r="C330" s="41" t="s">
        <v>905</v>
      </c>
      <c r="D330" s="41" t="s">
        <v>906</v>
      </c>
      <c r="E330" s="41" t="s">
        <v>907</v>
      </c>
      <c r="F330" s="41" t="s">
        <v>908</v>
      </c>
      <c r="G330" s="41" t="s">
        <v>909</v>
      </c>
      <c r="H330" s="41" t="s">
        <v>202</v>
      </c>
    </row>
    <row r="331" spans="1:8" ht="36" x14ac:dyDescent="0.25">
      <c r="A331" s="42">
        <v>1</v>
      </c>
      <c r="B331" s="43" t="s">
        <v>910</v>
      </c>
      <c r="C331" s="43" t="s">
        <v>911</v>
      </c>
      <c r="D331" s="43" t="s">
        <v>912</v>
      </c>
      <c r="E331" s="43" t="s">
        <v>913</v>
      </c>
      <c r="F331" s="43" t="s">
        <v>85</v>
      </c>
      <c r="G331" s="43" t="s">
        <v>914</v>
      </c>
      <c r="H331" s="43" t="s">
        <v>915</v>
      </c>
    </row>
    <row r="332" spans="1:8" ht="48" x14ac:dyDescent="0.25">
      <c r="A332" s="44">
        <v>2</v>
      </c>
      <c r="B332" s="45" t="s">
        <v>916</v>
      </c>
      <c r="C332" s="45" t="s">
        <v>917</v>
      </c>
      <c r="D332" s="45" t="s">
        <v>918</v>
      </c>
      <c r="E332" s="45" t="s">
        <v>919</v>
      </c>
      <c r="F332" s="45" t="s">
        <v>920</v>
      </c>
      <c r="G332" s="45" t="s">
        <v>921</v>
      </c>
      <c r="H332" s="45" t="s">
        <v>922</v>
      </c>
    </row>
    <row r="333" spans="1:8" ht="48" x14ac:dyDescent="0.25">
      <c r="A333" s="42">
        <v>3</v>
      </c>
      <c r="B333" s="43" t="s">
        <v>923</v>
      </c>
      <c r="C333" s="43" t="s">
        <v>924</v>
      </c>
      <c r="D333" s="43" t="s">
        <v>925</v>
      </c>
      <c r="E333" s="43" t="s">
        <v>926</v>
      </c>
      <c r="F333" s="43" t="s">
        <v>927</v>
      </c>
      <c r="G333" s="43" t="s">
        <v>928</v>
      </c>
      <c r="H333" s="43" t="s">
        <v>929</v>
      </c>
    </row>
    <row r="334" spans="1:8" ht="36" x14ac:dyDescent="0.25">
      <c r="A334" s="44">
        <v>4</v>
      </c>
      <c r="B334" s="45" t="s">
        <v>930</v>
      </c>
      <c r="C334" s="45" t="s">
        <v>931</v>
      </c>
      <c r="D334" s="45" t="s">
        <v>932</v>
      </c>
      <c r="E334" s="45" t="s">
        <v>933</v>
      </c>
      <c r="F334" s="45" t="s">
        <v>934</v>
      </c>
      <c r="G334" s="45" t="s">
        <v>935</v>
      </c>
      <c r="H334" s="45" t="s">
        <v>936</v>
      </c>
    </row>
    <row r="335" spans="1:8" ht="48" x14ac:dyDescent="0.25">
      <c r="A335" s="42">
        <v>5</v>
      </c>
      <c r="B335" s="43" t="s">
        <v>930</v>
      </c>
      <c r="C335" s="43" t="s">
        <v>937</v>
      </c>
      <c r="D335" s="43" t="s">
        <v>938</v>
      </c>
      <c r="E335" s="43" t="s">
        <v>939</v>
      </c>
      <c r="F335" s="43" t="s">
        <v>940</v>
      </c>
      <c r="G335" s="43" t="s">
        <v>941</v>
      </c>
      <c r="H335" s="43" t="s">
        <v>942</v>
      </c>
    </row>
    <row r="336" spans="1:8" ht="36" x14ac:dyDescent="0.25">
      <c r="A336" s="44">
        <v>6</v>
      </c>
      <c r="B336" s="45" t="s">
        <v>943</v>
      </c>
      <c r="C336" s="45" t="s">
        <v>944</v>
      </c>
      <c r="D336" s="45" t="s">
        <v>945</v>
      </c>
      <c r="E336" s="45" t="s">
        <v>946</v>
      </c>
      <c r="F336" s="45" t="s">
        <v>934</v>
      </c>
      <c r="G336" s="45" t="s">
        <v>947</v>
      </c>
      <c r="H336" s="45" t="s">
        <v>948</v>
      </c>
    </row>
    <row r="337" spans="1:8" ht="48" x14ac:dyDescent="0.25">
      <c r="A337" s="42">
        <v>7</v>
      </c>
      <c r="B337" s="43" t="s">
        <v>930</v>
      </c>
      <c r="C337" s="43" t="s">
        <v>949</v>
      </c>
      <c r="D337" s="43" t="s">
        <v>950</v>
      </c>
      <c r="E337" s="43" t="s">
        <v>951</v>
      </c>
      <c r="F337" s="43" t="s">
        <v>934</v>
      </c>
      <c r="G337" s="43" t="s">
        <v>952</v>
      </c>
      <c r="H337" s="43" t="s">
        <v>953</v>
      </c>
    </row>
    <row r="338" spans="1:8" ht="72" x14ac:dyDescent="0.25">
      <c r="A338" s="44">
        <v>8</v>
      </c>
      <c r="B338" s="45" t="s">
        <v>954</v>
      </c>
      <c r="C338" s="45" t="s">
        <v>955</v>
      </c>
      <c r="D338" s="45" t="s">
        <v>956</v>
      </c>
      <c r="E338" s="45" t="s">
        <v>957</v>
      </c>
      <c r="F338" s="45" t="s">
        <v>958</v>
      </c>
      <c r="G338" s="45" t="s">
        <v>959</v>
      </c>
      <c r="H338" s="45" t="s">
        <v>960</v>
      </c>
    </row>
    <row r="339" spans="1:8" ht="36" x14ac:dyDescent="0.25">
      <c r="A339" s="42">
        <v>9</v>
      </c>
      <c r="B339" s="43" t="s">
        <v>961</v>
      </c>
      <c r="C339" s="43" t="s">
        <v>962</v>
      </c>
      <c r="D339" s="43" t="s">
        <v>963</v>
      </c>
      <c r="E339" s="43" t="s">
        <v>964</v>
      </c>
      <c r="F339" s="43" t="s">
        <v>965</v>
      </c>
      <c r="G339" s="43" t="s">
        <v>966</v>
      </c>
      <c r="H339" s="43" t="s">
        <v>967</v>
      </c>
    </row>
    <row r="340" spans="1:8" ht="48" x14ac:dyDescent="0.25">
      <c r="A340" s="44">
        <v>10</v>
      </c>
      <c r="B340" s="45" t="s">
        <v>968</v>
      </c>
      <c r="C340" s="45" t="s">
        <v>969</v>
      </c>
      <c r="D340" s="45" t="s">
        <v>970</v>
      </c>
      <c r="E340" s="45" t="s">
        <v>971</v>
      </c>
      <c r="F340" s="45" t="s">
        <v>972</v>
      </c>
      <c r="G340" s="45" t="s">
        <v>973</v>
      </c>
      <c r="H340" s="45" t="s">
        <v>974</v>
      </c>
    </row>
    <row r="341" spans="1:8" x14ac:dyDescent="0.25">
      <c r="A341" s="40"/>
      <c r="B341" s="40"/>
      <c r="C341" s="40"/>
      <c r="D341" s="40"/>
      <c r="E341" s="40"/>
      <c r="F341" s="40"/>
      <c r="G341" s="40"/>
      <c r="H341" s="40"/>
    </row>
    <row r="342" spans="1:8" x14ac:dyDescent="0.25">
      <c r="A342" s="93" t="s">
        <v>975</v>
      </c>
      <c r="B342" s="93"/>
      <c r="C342" s="93"/>
      <c r="D342" s="93"/>
      <c r="E342" s="93"/>
      <c r="F342" s="93"/>
      <c r="G342" s="93"/>
      <c r="H342" s="93"/>
    </row>
    <row r="343" spans="1:8" ht="24" x14ac:dyDescent="0.25">
      <c r="A343" s="41" t="s">
        <v>134</v>
      </c>
      <c r="B343" s="41" t="s">
        <v>976</v>
      </c>
      <c r="C343" s="41" t="s">
        <v>977</v>
      </c>
      <c r="D343" s="41" t="s">
        <v>978</v>
      </c>
      <c r="E343" s="41" t="s">
        <v>979</v>
      </c>
      <c r="F343" s="41" t="s">
        <v>980</v>
      </c>
      <c r="G343" s="41" t="s">
        <v>981</v>
      </c>
      <c r="H343" s="41" t="s">
        <v>982</v>
      </c>
    </row>
    <row r="344" spans="1:8" ht="36" x14ac:dyDescent="0.25">
      <c r="A344" s="44">
        <v>1</v>
      </c>
      <c r="B344" s="45" t="s">
        <v>983</v>
      </c>
      <c r="C344" s="45" t="s">
        <v>984</v>
      </c>
      <c r="D344" s="45" t="s">
        <v>985</v>
      </c>
      <c r="E344" s="45" t="s">
        <v>986</v>
      </c>
      <c r="F344" s="45" t="s">
        <v>987</v>
      </c>
      <c r="G344" s="45" t="s">
        <v>988</v>
      </c>
      <c r="H344" s="45" t="s">
        <v>989</v>
      </c>
    </row>
    <row r="345" spans="1:8" ht="36" x14ac:dyDescent="0.25">
      <c r="A345" s="42">
        <v>2</v>
      </c>
      <c r="B345" s="43" t="s">
        <v>990</v>
      </c>
      <c r="C345" s="43" t="s">
        <v>991</v>
      </c>
      <c r="D345" s="43" t="s">
        <v>992</v>
      </c>
      <c r="E345" s="43" t="s">
        <v>993</v>
      </c>
      <c r="F345" s="43" t="s">
        <v>994</v>
      </c>
      <c r="G345" s="43" t="s">
        <v>995</v>
      </c>
      <c r="H345" s="43" t="s">
        <v>996</v>
      </c>
    </row>
    <row r="346" spans="1:8" ht="60" x14ac:dyDescent="0.25">
      <c r="A346" s="44">
        <v>3</v>
      </c>
      <c r="B346" s="45" t="s">
        <v>990</v>
      </c>
      <c r="C346" s="45" t="s">
        <v>997</v>
      </c>
      <c r="D346" s="45" t="s">
        <v>998</v>
      </c>
      <c r="E346" s="45" t="s">
        <v>999</v>
      </c>
      <c r="F346" s="45" t="s">
        <v>1000</v>
      </c>
      <c r="G346" s="45" t="s">
        <v>1001</v>
      </c>
      <c r="H346" s="45" t="s">
        <v>1002</v>
      </c>
    </row>
    <row r="347" spans="1:8" ht="48" x14ac:dyDescent="0.25">
      <c r="A347" s="42">
        <v>4</v>
      </c>
      <c r="B347" s="43" t="s">
        <v>990</v>
      </c>
      <c r="C347" s="43" t="s">
        <v>1003</v>
      </c>
      <c r="D347" s="43" t="s">
        <v>1004</v>
      </c>
      <c r="E347" s="43" t="s">
        <v>1005</v>
      </c>
      <c r="F347" s="43" t="s">
        <v>1006</v>
      </c>
      <c r="G347" s="43" t="s">
        <v>1007</v>
      </c>
      <c r="H347" s="43" t="s">
        <v>1008</v>
      </c>
    </row>
    <row r="348" spans="1:8" ht="48" x14ac:dyDescent="0.25">
      <c r="A348" s="44">
        <v>5</v>
      </c>
      <c r="B348" s="45" t="s">
        <v>1009</v>
      </c>
      <c r="C348" s="45" t="s">
        <v>1010</v>
      </c>
      <c r="D348" s="45" t="s">
        <v>1011</v>
      </c>
      <c r="E348" s="45" t="s">
        <v>1012</v>
      </c>
      <c r="F348" s="45" t="s">
        <v>1013</v>
      </c>
      <c r="G348" s="45" t="s">
        <v>1014</v>
      </c>
      <c r="H348" s="45" t="s">
        <v>1015</v>
      </c>
    </row>
    <row r="349" spans="1:8" ht="36" x14ac:dyDescent="0.25">
      <c r="A349" s="42">
        <v>6</v>
      </c>
      <c r="B349" s="43" t="s">
        <v>1009</v>
      </c>
      <c r="C349" s="43" t="s">
        <v>1016</v>
      </c>
      <c r="D349" s="43" t="s">
        <v>1017</v>
      </c>
      <c r="E349" s="43" t="s">
        <v>1018</v>
      </c>
      <c r="F349" s="43" t="s">
        <v>1019</v>
      </c>
      <c r="G349" s="43" t="s">
        <v>1020</v>
      </c>
      <c r="H349" s="43" t="s">
        <v>1021</v>
      </c>
    </row>
    <row r="350" spans="1:8" ht="24" x14ac:dyDescent="0.25">
      <c r="A350" s="44">
        <v>7</v>
      </c>
      <c r="B350" s="45" t="s">
        <v>1022</v>
      </c>
      <c r="C350" s="45" t="s">
        <v>1023</v>
      </c>
      <c r="D350" s="45" t="s">
        <v>1024</v>
      </c>
      <c r="E350" s="45" t="s">
        <v>1025</v>
      </c>
      <c r="F350" s="45" t="s">
        <v>1026</v>
      </c>
      <c r="G350" s="45" t="s">
        <v>1027</v>
      </c>
      <c r="H350" s="45" t="s">
        <v>1028</v>
      </c>
    </row>
    <row r="351" spans="1:8" ht="36" x14ac:dyDescent="0.25">
      <c r="A351" s="42">
        <v>8</v>
      </c>
      <c r="B351" s="43" t="s">
        <v>1029</v>
      </c>
      <c r="C351" s="43" t="s">
        <v>1030</v>
      </c>
      <c r="D351" s="43" t="s">
        <v>1031</v>
      </c>
      <c r="E351" s="43" t="s">
        <v>1032</v>
      </c>
      <c r="F351" s="43" t="s">
        <v>1033</v>
      </c>
      <c r="G351" s="43" t="s">
        <v>1034</v>
      </c>
      <c r="H351" s="43" t="s">
        <v>1035</v>
      </c>
    </row>
    <row r="352" spans="1:8" x14ac:dyDescent="0.25">
      <c r="A352" s="40"/>
      <c r="B352" s="40"/>
      <c r="C352" s="40"/>
      <c r="D352" s="40"/>
      <c r="E352" s="40"/>
      <c r="F352" s="40"/>
      <c r="G352" s="40"/>
      <c r="H352" s="40"/>
    </row>
    <row r="353" spans="1:8" x14ac:dyDescent="0.25">
      <c r="A353" s="93" t="s">
        <v>1036</v>
      </c>
      <c r="B353" s="93"/>
      <c r="C353" s="93"/>
      <c r="D353" s="93"/>
      <c r="E353" s="93"/>
      <c r="F353" s="93"/>
      <c r="G353" s="93"/>
      <c r="H353" s="93"/>
    </row>
    <row r="354" spans="1:8" x14ac:dyDescent="0.25">
      <c r="A354" s="94" t="s">
        <v>1037</v>
      </c>
      <c r="B354" s="95"/>
      <c r="C354" s="95"/>
      <c r="D354" s="95"/>
      <c r="E354" s="95"/>
      <c r="F354" s="95"/>
      <c r="G354" s="95"/>
      <c r="H354" s="96"/>
    </row>
    <row r="355" spans="1:8" x14ac:dyDescent="0.25">
      <c r="A355" s="97"/>
      <c r="B355" s="98"/>
      <c r="C355" s="98"/>
      <c r="D355" s="98"/>
      <c r="E355" s="98"/>
      <c r="F355" s="98"/>
      <c r="G355" s="98"/>
      <c r="H355" s="99"/>
    </row>
    <row r="356" spans="1:8" x14ac:dyDescent="0.25">
      <c r="A356" s="100"/>
      <c r="B356" s="101"/>
      <c r="C356" s="101"/>
      <c r="D356" s="101"/>
      <c r="E356" s="101"/>
      <c r="F356" s="101"/>
      <c r="G356" s="101"/>
      <c r="H356" s="102"/>
    </row>
    <row r="357" spans="1:8" x14ac:dyDescent="0.25">
      <c r="A357" s="90" t="s">
        <v>1038</v>
      </c>
      <c r="B357" s="90"/>
      <c r="C357" s="90"/>
      <c r="D357" s="90"/>
      <c r="E357" s="90"/>
      <c r="F357" s="90"/>
      <c r="G357" s="90"/>
      <c r="H357" s="90"/>
    </row>
    <row r="358" spans="1:8" x14ac:dyDescent="0.25">
      <c r="A358" s="90"/>
      <c r="B358" s="90"/>
      <c r="C358" s="90"/>
      <c r="D358" s="90"/>
      <c r="E358" s="90"/>
      <c r="F358" s="90"/>
      <c r="G358" s="90"/>
      <c r="H358" s="90"/>
    </row>
  </sheetData>
  <mergeCells count="170">
    <mergeCell ref="A27:H27"/>
    <mergeCell ref="A39:H39"/>
    <mergeCell ref="A50:H50"/>
    <mergeCell ref="A63:H63"/>
    <mergeCell ref="A75:H75"/>
    <mergeCell ref="A88:H88"/>
    <mergeCell ref="A1:H1"/>
    <mergeCell ref="A2:H2"/>
    <mergeCell ref="A4:H4"/>
    <mergeCell ref="A5:H7"/>
    <mergeCell ref="A9:H9"/>
    <mergeCell ref="A16:H16"/>
    <mergeCell ref="C156:H156"/>
    <mergeCell ref="C157:H157"/>
    <mergeCell ref="C158:H158"/>
    <mergeCell ref="C159:H159"/>
    <mergeCell ref="A161:H161"/>
    <mergeCell ref="A172:H172"/>
    <mergeCell ref="A105:H105"/>
    <mergeCell ref="A107:H107"/>
    <mergeCell ref="A108:H109"/>
    <mergeCell ref="A153:H153"/>
    <mergeCell ref="C154:H154"/>
    <mergeCell ref="C155:H155"/>
    <mergeCell ref="D191:H191"/>
    <mergeCell ref="A193:H193"/>
    <mergeCell ref="A194:H194"/>
    <mergeCell ref="A254:H254"/>
    <mergeCell ref="A255:H255"/>
    <mergeCell ref="A257:H257"/>
    <mergeCell ref="A173:H175"/>
    <mergeCell ref="A186:H186"/>
    <mergeCell ref="D187:H187"/>
    <mergeCell ref="D188:H188"/>
    <mergeCell ref="D189:H189"/>
    <mergeCell ref="D190:H190"/>
    <mergeCell ref="A263:D263"/>
    <mergeCell ref="E263:H263"/>
    <mergeCell ref="A264:D264"/>
    <mergeCell ref="E264:H264"/>
    <mergeCell ref="A265:D265"/>
    <mergeCell ref="E265:H265"/>
    <mergeCell ref="A258:H258"/>
    <mergeCell ref="A260:D260"/>
    <mergeCell ref="E260:H260"/>
    <mergeCell ref="A261:D261"/>
    <mergeCell ref="E261:H261"/>
    <mergeCell ref="A262:D262"/>
    <mergeCell ref="E262:H262"/>
    <mergeCell ref="A269:D269"/>
    <mergeCell ref="E269:H269"/>
    <mergeCell ref="A270:D270"/>
    <mergeCell ref="E270:H270"/>
    <mergeCell ref="A271:D271"/>
    <mergeCell ref="E271:H271"/>
    <mergeCell ref="A266:D266"/>
    <mergeCell ref="E266:H266"/>
    <mergeCell ref="A267:D267"/>
    <mergeCell ref="E267:H267"/>
    <mergeCell ref="A268:D268"/>
    <mergeCell ref="E268:H268"/>
    <mergeCell ref="A275:D275"/>
    <mergeCell ref="E275:H275"/>
    <mergeCell ref="A276:D276"/>
    <mergeCell ref="E276:H276"/>
    <mergeCell ref="A277:D277"/>
    <mergeCell ref="E277:H277"/>
    <mergeCell ref="A272:D272"/>
    <mergeCell ref="E272:H272"/>
    <mergeCell ref="A273:D273"/>
    <mergeCell ref="E273:H273"/>
    <mergeCell ref="A274:D274"/>
    <mergeCell ref="E274:H274"/>
    <mergeCell ref="A281:D281"/>
    <mergeCell ref="E281:H281"/>
    <mergeCell ref="A282:D282"/>
    <mergeCell ref="E282:H282"/>
    <mergeCell ref="A283:D283"/>
    <mergeCell ref="E283:H283"/>
    <mergeCell ref="A278:D278"/>
    <mergeCell ref="E278:H278"/>
    <mergeCell ref="A279:D279"/>
    <mergeCell ref="E279:H279"/>
    <mergeCell ref="A280:D280"/>
    <mergeCell ref="E280:H280"/>
    <mergeCell ref="A287:D287"/>
    <mergeCell ref="E287:H287"/>
    <mergeCell ref="A288:D288"/>
    <mergeCell ref="E288:H288"/>
    <mergeCell ref="A289:D289"/>
    <mergeCell ref="E289:H289"/>
    <mergeCell ref="A284:D284"/>
    <mergeCell ref="E284:H284"/>
    <mergeCell ref="A285:D285"/>
    <mergeCell ref="E285:H285"/>
    <mergeCell ref="A286:D286"/>
    <mergeCell ref="E286:H286"/>
    <mergeCell ref="A293:D293"/>
    <mergeCell ref="E293:H293"/>
    <mergeCell ref="A294:D294"/>
    <mergeCell ref="E294:H294"/>
    <mergeCell ref="A295:D295"/>
    <mergeCell ref="E295:H295"/>
    <mergeCell ref="A290:D290"/>
    <mergeCell ref="E290:H290"/>
    <mergeCell ref="A291:D291"/>
    <mergeCell ref="E291:H291"/>
    <mergeCell ref="A292:D292"/>
    <mergeCell ref="E292:H292"/>
    <mergeCell ref="A299:D299"/>
    <mergeCell ref="E299:H299"/>
    <mergeCell ref="A300:D300"/>
    <mergeCell ref="E300:H300"/>
    <mergeCell ref="A301:D301"/>
    <mergeCell ref="E301:H301"/>
    <mergeCell ref="A296:D296"/>
    <mergeCell ref="E296:H296"/>
    <mergeCell ref="A297:D297"/>
    <mergeCell ref="E297:H297"/>
    <mergeCell ref="A298:D298"/>
    <mergeCell ref="E298:H298"/>
    <mergeCell ref="A305:D305"/>
    <mergeCell ref="E305:H305"/>
    <mergeCell ref="A306:D306"/>
    <mergeCell ref="E306:H306"/>
    <mergeCell ref="A307:D307"/>
    <mergeCell ref="E307:H307"/>
    <mergeCell ref="A302:D302"/>
    <mergeCell ref="E302:H302"/>
    <mergeCell ref="A303:D303"/>
    <mergeCell ref="E303:H303"/>
    <mergeCell ref="A304:D304"/>
    <mergeCell ref="E304:H304"/>
    <mergeCell ref="A311:D311"/>
    <mergeCell ref="E311:H311"/>
    <mergeCell ref="A312:D312"/>
    <mergeCell ref="E312:H312"/>
    <mergeCell ref="A313:D313"/>
    <mergeCell ref="E313:H313"/>
    <mergeCell ref="A308:D308"/>
    <mergeCell ref="E308:H308"/>
    <mergeCell ref="A309:D309"/>
    <mergeCell ref="E309:H309"/>
    <mergeCell ref="A310:D310"/>
    <mergeCell ref="E310:H310"/>
    <mergeCell ref="A317:D317"/>
    <mergeCell ref="E317:H317"/>
    <mergeCell ref="A318:D318"/>
    <mergeCell ref="E318:H318"/>
    <mergeCell ref="A319:D319"/>
    <mergeCell ref="E319:H319"/>
    <mergeCell ref="A314:D314"/>
    <mergeCell ref="E314:H314"/>
    <mergeCell ref="A315:D315"/>
    <mergeCell ref="E315:H315"/>
    <mergeCell ref="A316:D316"/>
    <mergeCell ref="E316:H316"/>
    <mergeCell ref="A357:H358"/>
    <mergeCell ref="A325:H325"/>
    <mergeCell ref="A326:H327"/>
    <mergeCell ref="A329:H329"/>
    <mergeCell ref="A342:H342"/>
    <mergeCell ref="A353:H353"/>
    <mergeCell ref="A354:H356"/>
    <mergeCell ref="A320:D320"/>
    <mergeCell ref="E320:H320"/>
    <mergeCell ref="A321:D321"/>
    <mergeCell ref="E321:H321"/>
    <mergeCell ref="A322:D322"/>
    <mergeCell ref="E322:H322"/>
  </mergeCells>
  <pageMargins left="0.7" right="0.7" top="0.75" bottom="0.75" header="0.3" footer="0.3"/>
  <ignoredErrors>
    <ignoredError sqref="F19" formula="1"/>
  </ignoredErrors>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770DF-CD2B-4349-A8FC-07B2812E7300}">
  <dimension ref="A1:I154"/>
  <sheetViews>
    <sheetView tabSelected="1" topLeftCell="A97" workbookViewId="0">
      <selection activeCell="F104" sqref="F104"/>
    </sheetView>
  </sheetViews>
  <sheetFormatPr defaultRowHeight="24.95" customHeight="1" x14ac:dyDescent="0.25"/>
  <cols>
    <col min="1" max="1" width="20.85546875" customWidth="1"/>
    <col min="2" max="2" width="43.140625" customWidth="1"/>
    <col min="3" max="3" width="22.28515625" customWidth="1"/>
    <col min="4" max="4" width="23.85546875" customWidth="1"/>
    <col min="5" max="5" width="25.7109375" customWidth="1"/>
    <col min="6" max="6" width="21.28515625" customWidth="1"/>
    <col min="7" max="7" width="19.85546875" customWidth="1"/>
    <col min="8" max="8" width="33.28515625" customWidth="1"/>
    <col min="9" max="10" width="38.140625" customWidth="1"/>
    <col min="11" max="12" width="22" customWidth="1"/>
  </cols>
  <sheetData>
    <row r="1" spans="1:9" ht="18.75" x14ac:dyDescent="0.25">
      <c r="A1" s="78" t="s">
        <v>1039</v>
      </c>
      <c r="B1" s="78"/>
      <c r="C1" s="78"/>
      <c r="D1" s="78"/>
      <c r="E1" s="78"/>
    </row>
    <row r="2" spans="1:9" ht="15" x14ac:dyDescent="0.25"/>
    <row r="3" spans="1:9" ht="15" x14ac:dyDescent="0.25">
      <c r="A3" s="46" t="s">
        <v>1040</v>
      </c>
      <c r="B3" s="46" t="s">
        <v>538</v>
      </c>
      <c r="C3" s="46" t="s">
        <v>1041</v>
      </c>
      <c r="D3" s="46" t="s">
        <v>1042</v>
      </c>
      <c r="E3" s="46" t="s">
        <v>1043</v>
      </c>
    </row>
    <row r="4" spans="1:9" ht="15" x14ac:dyDescent="0.25">
      <c r="A4" s="47" t="s">
        <v>1044</v>
      </c>
      <c r="B4" s="47" t="s">
        <v>1045</v>
      </c>
      <c r="C4" s="47" t="s">
        <v>1046</v>
      </c>
      <c r="D4" s="47" t="s">
        <v>1047</v>
      </c>
      <c r="E4" s="47" t="s">
        <v>1048</v>
      </c>
    </row>
    <row r="5" spans="1:9" ht="15" x14ac:dyDescent="0.25">
      <c r="A5" s="48" t="s">
        <v>1049</v>
      </c>
      <c r="B5" s="48" t="s">
        <v>1050</v>
      </c>
      <c r="C5" s="48" t="s">
        <v>1051</v>
      </c>
      <c r="D5" s="48" t="s">
        <v>1052</v>
      </c>
      <c r="E5" s="48" t="s">
        <v>1052</v>
      </c>
    </row>
    <row r="6" spans="1:9" ht="15" x14ac:dyDescent="0.25"/>
    <row r="7" spans="1:9" ht="15" x14ac:dyDescent="0.25">
      <c r="A7" s="49" t="s">
        <v>1053</v>
      </c>
      <c r="B7" s="49" t="s">
        <v>1054</v>
      </c>
      <c r="C7" s="49" t="s">
        <v>1055</v>
      </c>
      <c r="D7" s="49" t="s">
        <v>1056</v>
      </c>
      <c r="E7" s="49" t="s">
        <v>1057</v>
      </c>
      <c r="F7" s="49" t="s">
        <v>1058</v>
      </c>
      <c r="G7" s="49" t="s">
        <v>1059</v>
      </c>
      <c r="H7" s="49" t="s">
        <v>1060</v>
      </c>
      <c r="I7" s="49" t="s">
        <v>1061</v>
      </c>
    </row>
    <row r="8" spans="1:9" ht="15" x14ac:dyDescent="0.25">
      <c r="A8" s="47" t="s">
        <v>1062</v>
      </c>
      <c r="B8" s="47" t="s">
        <v>1062</v>
      </c>
      <c r="C8" s="50" t="s">
        <v>1063</v>
      </c>
      <c r="D8" s="50" t="s">
        <v>1063</v>
      </c>
      <c r="E8" s="50" t="s">
        <v>1063</v>
      </c>
      <c r="F8" s="50" t="s">
        <v>1063</v>
      </c>
      <c r="G8" s="50" t="s">
        <v>1063</v>
      </c>
      <c r="H8" s="50" t="s">
        <v>1063</v>
      </c>
      <c r="I8" s="50" t="s">
        <v>1063</v>
      </c>
    </row>
    <row r="9" spans="1:9" ht="15" x14ac:dyDescent="0.25"/>
    <row r="10" spans="1:9" ht="15" x14ac:dyDescent="0.25">
      <c r="A10" s="79" t="s">
        <v>1064</v>
      </c>
      <c r="B10" s="79"/>
      <c r="C10" s="79"/>
      <c r="D10" s="79"/>
      <c r="E10" s="79"/>
    </row>
    <row r="11" spans="1:9" ht="15" x14ac:dyDescent="0.25"/>
    <row r="12" spans="1:9" ht="15" x14ac:dyDescent="0.25">
      <c r="A12" s="51" t="s">
        <v>1065</v>
      </c>
      <c r="B12" s="51" t="s">
        <v>1066</v>
      </c>
      <c r="C12" s="51" t="s">
        <v>1067</v>
      </c>
      <c r="D12" s="51" t="s">
        <v>1068</v>
      </c>
      <c r="E12" s="51" t="s">
        <v>1069</v>
      </c>
    </row>
    <row r="13" spans="1:9" ht="15" x14ac:dyDescent="0.25">
      <c r="A13" s="77" t="s">
        <v>1070</v>
      </c>
      <c r="B13" s="77"/>
      <c r="C13" s="77"/>
      <c r="D13" s="77"/>
      <c r="E13" s="77"/>
    </row>
    <row r="14" spans="1:9" ht="15" x14ac:dyDescent="0.25">
      <c r="A14" s="52" t="s">
        <v>1071</v>
      </c>
      <c r="B14" s="52" t="s">
        <v>1072</v>
      </c>
      <c r="C14" s="52" t="s">
        <v>1073</v>
      </c>
      <c r="D14" s="52" t="s">
        <v>1074</v>
      </c>
      <c r="E14" s="52" t="s">
        <v>1075</v>
      </c>
    </row>
    <row r="15" spans="1:9" ht="15" x14ac:dyDescent="0.25">
      <c r="A15" s="52" t="s">
        <v>1076</v>
      </c>
      <c r="B15" s="52" t="s">
        <v>1077</v>
      </c>
      <c r="C15" s="52" t="s">
        <v>1073</v>
      </c>
      <c r="D15" s="52" t="s">
        <v>1074</v>
      </c>
      <c r="E15" s="52" t="s">
        <v>1075</v>
      </c>
    </row>
    <row r="16" spans="1:9" ht="15" x14ac:dyDescent="0.25">
      <c r="A16" s="52" t="s">
        <v>1078</v>
      </c>
      <c r="B16" s="52" t="s">
        <v>1079</v>
      </c>
      <c r="C16" s="52" t="s">
        <v>1073</v>
      </c>
      <c r="D16" s="52" t="s">
        <v>1074</v>
      </c>
      <c r="E16" s="52" t="s">
        <v>1075</v>
      </c>
    </row>
    <row r="17" spans="1:5" ht="15" x14ac:dyDescent="0.25">
      <c r="A17" s="52" t="s">
        <v>1080</v>
      </c>
      <c r="B17" s="52" t="s">
        <v>1081</v>
      </c>
      <c r="C17" s="52" t="s">
        <v>1073</v>
      </c>
      <c r="D17" s="52" t="s">
        <v>1074</v>
      </c>
      <c r="E17" s="52" t="s">
        <v>1075</v>
      </c>
    </row>
    <row r="18" spans="1:5" ht="15" x14ac:dyDescent="0.25">
      <c r="A18" s="77" t="s">
        <v>1082</v>
      </c>
      <c r="B18" s="77"/>
      <c r="C18" s="77"/>
      <c r="D18" s="77"/>
      <c r="E18" s="77"/>
    </row>
    <row r="19" spans="1:5" ht="15" x14ac:dyDescent="0.25">
      <c r="A19" s="52" t="s">
        <v>1083</v>
      </c>
      <c r="B19" s="52" t="s">
        <v>1084</v>
      </c>
      <c r="C19" s="52" t="s">
        <v>1073</v>
      </c>
      <c r="D19" s="52" t="s">
        <v>1085</v>
      </c>
      <c r="E19" s="52" t="s">
        <v>1075</v>
      </c>
    </row>
    <row r="20" spans="1:5" ht="15" x14ac:dyDescent="0.25">
      <c r="A20" s="52" t="s">
        <v>1086</v>
      </c>
      <c r="B20" s="52" t="s">
        <v>1087</v>
      </c>
      <c r="C20" s="52" t="s">
        <v>1073</v>
      </c>
      <c r="D20" s="52" t="s">
        <v>1074</v>
      </c>
      <c r="E20" s="52" t="s">
        <v>1075</v>
      </c>
    </row>
    <row r="21" spans="1:5" ht="15" x14ac:dyDescent="0.25">
      <c r="A21" s="52" t="s">
        <v>1088</v>
      </c>
      <c r="B21" s="52" t="s">
        <v>1089</v>
      </c>
      <c r="C21" s="52" t="s">
        <v>1073</v>
      </c>
      <c r="D21" s="52" t="s">
        <v>1090</v>
      </c>
      <c r="E21" s="52" t="s">
        <v>1075</v>
      </c>
    </row>
    <row r="22" spans="1:5" ht="15" x14ac:dyDescent="0.25">
      <c r="A22" s="77" t="s">
        <v>1091</v>
      </c>
      <c r="B22" s="77"/>
      <c r="C22" s="77"/>
      <c r="D22" s="77"/>
      <c r="E22" s="77"/>
    </row>
    <row r="23" spans="1:5" ht="15" x14ac:dyDescent="0.25">
      <c r="A23" s="52" t="s">
        <v>1092</v>
      </c>
      <c r="B23" s="52" t="s">
        <v>1093</v>
      </c>
      <c r="C23" s="52" t="s">
        <v>1073</v>
      </c>
      <c r="D23" s="52" t="s">
        <v>1074</v>
      </c>
      <c r="E23" s="52" t="s">
        <v>1075</v>
      </c>
    </row>
    <row r="24" spans="1:5" ht="15" x14ac:dyDescent="0.25">
      <c r="A24" s="52" t="s">
        <v>1094</v>
      </c>
      <c r="B24" s="52" t="s">
        <v>1095</v>
      </c>
      <c r="C24" s="52" t="s">
        <v>1073</v>
      </c>
      <c r="D24" s="52" t="s">
        <v>1074</v>
      </c>
      <c r="E24" s="52" t="s">
        <v>1075</v>
      </c>
    </row>
    <row r="25" spans="1:5" ht="15" x14ac:dyDescent="0.25">
      <c r="A25" s="52" t="s">
        <v>1096</v>
      </c>
      <c r="B25" s="52" t="s">
        <v>1097</v>
      </c>
      <c r="C25" s="52" t="s">
        <v>1073</v>
      </c>
      <c r="D25" s="52" t="s">
        <v>1085</v>
      </c>
      <c r="E25" s="52" t="s">
        <v>1075</v>
      </c>
    </row>
    <row r="26" spans="1:5" ht="15" x14ac:dyDescent="0.25">
      <c r="A26" s="52" t="s">
        <v>1098</v>
      </c>
      <c r="B26" s="52" t="s">
        <v>1099</v>
      </c>
      <c r="C26" s="52" t="s">
        <v>1073</v>
      </c>
      <c r="D26" s="52" t="s">
        <v>1074</v>
      </c>
      <c r="E26" s="52" t="s">
        <v>1075</v>
      </c>
    </row>
    <row r="27" spans="1:5" ht="15" x14ac:dyDescent="0.25">
      <c r="A27" s="77" t="s">
        <v>1100</v>
      </c>
      <c r="B27" s="77"/>
      <c r="C27" s="77"/>
      <c r="D27" s="77"/>
      <c r="E27" s="77"/>
    </row>
    <row r="28" spans="1:5" ht="15" x14ac:dyDescent="0.25">
      <c r="A28" s="52" t="s">
        <v>1101</v>
      </c>
      <c r="B28" s="52" t="s">
        <v>1102</v>
      </c>
      <c r="C28" s="52" t="s">
        <v>1073</v>
      </c>
      <c r="D28" s="52" t="s">
        <v>1074</v>
      </c>
      <c r="E28" s="52" t="s">
        <v>1075</v>
      </c>
    </row>
    <row r="29" spans="1:5" ht="15" x14ac:dyDescent="0.25">
      <c r="A29" s="52" t="s">
        <v>1103</v>
      </c>
      <c r="B29" s="52" t="s">
        <v>1104</v>
      </c>
      <c r="C29" s="52" t="s">
        <v>1073</v>
      </c>
      <c r="D29" s="52" t="s">
        <v>1074</v>
      </c>
      <c r="E29" s="52" t="s">
        <v>1075</v>
      </c>
    </row>
    <row r="30" spans="1:5" ht="15" x14ac:dyDescent="0.25">
      <c r="A30" s="77" t="s">
        <v>1105</v>
      </c>
      <c r="B30" s="77"/>
      <c r="C30" s="77"/>
      <c r="D30" s="77"/>
      <c r="E30" s="77"/>
    </row>
    <row r="31" spans="1:5" ht="15" x14ac:dyDescent="0.25">
      <c r="A31" s="52" t="s">
        <v>1106</v>
      </c>
      <c r="B31" s="52" t="s">
        <v>1107</v>
      </c>
      <c r="C31" s="52" t="s">
        <v>1073</v>
      </c>
      <c r="D31" s="52" t="s">
        <v>1074</v>
      </c>
      <c r="E31" s="52" t="s">
        <v>1075</v>
      </c>
    </row>
    <row r="32" spans="1:5" ht="15" x14ac:dyDescent="0.25">
      <c r="A32" s="52" t="s">
        <v>1108</v>
      </c>
      <c r="B32" s="52" t="s">
        <v>1109</v>
      </c>
      <c r="C32" s="52" t="s">
        <v>1073</v>
      </c>
      <c r="D32" s="52" t="s">
        <v>1074</v>
      </c>
      <c r="E32" s="52" t="s">
        <v>1075</v>
      </c>
    </row>
    <row r="33" spans="1:5" ht="15" x14ac:dyDescent="0.25">
      <c r="A33" s="52" t="s">
        <v>1110</v>
      </c>
      <c r="B33" s="52" t="s">
        <v>1111</v>
      </c>
      <c r="C33" s="52" t="s">
        <v>1073</v>
      </c>
      <c r="D33" s="52" t="s">
        <v>1074</v>
      </c>
      <c r="E33" s="52" t="s">
        <v>1075</v>
      </c>
    </row>
    <row r="34" spans="1:5" ht="15" x14ac:dyDescent="0.25">
      <c r="A34" s="52" t="s">
        <v>1112</v>
      </c>
      <c r="B34" s="52" t="s">
        <v>1113</v>
      </c>
      <c r="C34" s="52" t="s">
        <v>1073</v>
      </c>
      <c r="D34" s="52" t="s">
        <v>1074</v>
      </c>
      <c r="E34" s="52" t="s">
        <v>1075</v>
      </c>
    </row>
    <row r="35" spans="1:5" ht="15" x14ac:dyDescent="0.25">
      <c r="A35" s="52" t="s">
        <v>1114</v>
      </c>
      <c r="B35" s="52" t="s">
        <v>1115</v>
      </c>
      <c r="C35" s="52" t="s">
        <v>1073</v>
      </c>
      <c r="D35" s="52" t="s">
        <v>1074</v>
      </c>
      <c r="E35" s="52" t="s">
        <v>1075</v>
      </c>
    </row>
    <row r="36" spans="1:5" ht="15" x14ac:dyDescent="0.25">
      <c r="A36" s="52" t="s">
        <v>1116</v>
      </c>
      <c r="B36" s="52" t="s">
        <v>1117</v>
      </c>
      <c r="C36" s="52" t="s">
        <v>1073</v>
      </c>
      <c r="D36" s="52" t="s">
        <v>1074</v>
      </c>
      <c r="E36" s="52" t="s">
        <v>1075</v>
      </c>
    </row>
    <row r="37" spans="1:5" ht="15" x14ac:dyDescent="0.25">
      <c r="A37" s="52" t="s">
        <v>1118</v>
      </c>
      <c r="B37" s="52" t="s">
        <v>1119</v>
      </c>
      <c r="C37" s="52" t="s">
        <v>1073</v>
      </c>
      <c r="D37" s="52" t="s">
        <v>1074</v>
      </c>
      <c r="E37" s="52" t="s">
        <v>1075</v>
      </c>
    </row>
    <row r="38" spans="1:5" ht="15" x14ac:dyDescent="0.25">
      <c r="A38" s="52" t="s">
        <v>1120</v>
      </c>
      <c r="B38" s="52" t="s">
        <v>1121</v>
      </c>
      <c r="C38" s="52" t="s">
        <v>1073</v>
      </c>
      <c r="D38" s="52" t="s">
        <v>1090</v>
      </c>
      <c r="E38" s="52" t="s">
        <v>1075</v>
      </c>
    </row>
    <row r="39" spans="1:5" ht="15" x14ac:dyDescent="0.25">
      <c r="A39" s="52" t="s">
        <v>1122</v>
      </c>
      <c r="B39" s="52" t="s">
        <v>1123</v>
      </c>
      <c r="C39" s="52" t="s">
        <v>1073</v>
      </c>
      <c r="D39" s="52" t="s">
        <v>1090</v>
      </c>
      <c r="E39" s="52" t="s">
        <v>1075</v>
      </c>
    </row>
    <row r="40" spans="1:5" ht="15" x14ac:dyDescent="0.25">
      <c r="A40" s="52" t="s">
        <v>1124</v>
      </c>
      <c r="B40" s="52" t="s">
        <v>1125</v>
      </c>
      <c r="C40" s="52" t="s">
        <v>1073</v>
      </c>
      <c r="D40" s="52" t="s">
        <v>1090</v>
      </c>
      <c r="E40" s="52" t="s">
        <v>1075</v>
      </c>
    </row>
    <row r="41" spans="1:5" ht="15" x14ac:dyDescent="0.25">
      <c r="A41" s="77" t="s">
        <v>1134</v>
      </c>
      <c r="B41" s="77"/>
      <c r="C41" s="77"/>
      <c r="D41" s="77"/>
      <c r="E41" s="77"/>
    </row>
    <row r="42" spans="1:5" ht="15" x14ac:dyDescent="0.25">
      <c r="A42" s="52" t="s">
        <v>1092</v>
      </c>
      <c r="B42" s="52" t="s">
        <v>1093</v>
      </c>
      <c r="C42" s="52" t="s">
        <v>1073</v>
      </c>
      <c r="D42" s="52" t="s">
        <v>1074</v>
      </c>
      <c r="E42" s="52" t="s">
        <v>1075</v>
      </c>
    </row>
    <row r="43" spans="1:5" ht="15" x14ac:dyDescent="0.25">
      <c r="A43" s="52" t="s">
        <v>1126</v>
      </c>
      <c r="B43" s="52" t="s">
        <v>1127</v>
      </c>
      <c r="C43" s="52" t="s">
        <v>1073</v>
      </c>
      <c r="D43" s="52" t="s">
        <v>1074</v>
      </c>
      <c r="E43" s="52" t="s">
        <v>1075</v>
      </c>
    </row>
    <row r="44" spans="1:5" ht="15" x14ac:dyDescent="0.25">
      <c r="A44" s="52" t="s">
        <v>1128</v>
      </c>
      <c r="B44" s="52" t="s">
        <v>1129</v>
      </c>
      <c r="C44" s="52" t="s">
        <v>1073</v>
      </c>
      <c r="D44" s="52" t="s">
        <v>1074</v>
      </c>
      <c r="E44" s="52" t="s">
        <v>1075</v>
      </c>
    </row>
    <row r="45" spans="1:5" ht="15" x14ac:dyDescent="0.25">
      <c r="A45" s="52" t="s">
        <v>1130</v>
      </c>
      <c r="B45" s="52" t="s">
        <v>1131</v>
      </c>
      <c r="C45" s="52" t="s">
        <v>1073</v>
      </c>
      <c r="D45" s="52" t="s">
        <v>1074</v>
      </c>
      <c r="E45" s="52" t="s">
        <v>1075</v>
      </c>
    </row>
    <row r="46" spans="1:5" ht="15" x14ac:dyDescent="0.25">
      <c r="A46" s="52" t="s">
        <v>1124</v>
      </c>
      <c r="B46" s="52" t="s">
        <v>1125</v>
      </c>
      <c r="C46" s="52" t="s">
        <v>1073</v>
      </c>
      <c r="D46" s="52" t="s">
        <v>1074</v>
      </c>
      <c r="E46" s="52" t="s">
        <v>1075</v>
      </c>
    </row>
    <row r="47" spans="1:5" ht="15" x14ac:dyDescent="0.25">
      <c r="A47" s="77" t="s">
        <v>1135</v>
      </c>
      <c r="B47" s="77"/>
      <c r="C47" s="77"/>
      <c r="D47" s="77"/>
      <c r="E47" s="77"/>
    </row>
    <row r="48" spans="1:5" ht="15" x14ac:dyDescent="0.25">
      <c r="A48" s="52" t="s">
        <v>1132</v>
      </c>
      <c r="B48" s="52" t="s">
        <v>1133</v>
      </c>
      <c r="C48" s="52" t="s">
        <v>1073</v>
      </c>
      <c r="D48" s="52" t="s">
        <v>1074</v>
      </c>
      <c r="E48" s="52" t="s">
        <v>1075</v>
      </c>
    </row>
    <row r="49" spans="1:5" ht="15" x14ac:dyDescent="0.25">
      <c r="A49" s="52" t="s">
        <v>1122</v>
      </c>
      <c r="B49" s="52" t="s">
        <v>1123</v>
      </c>
      <c r="C49" s="52" t="s">
        <v>1073</v>
      </c>
      <c r="D49" s="52" t="s">
        <v>1074</v>
      </c>
      <c r="E49" s="52" t="s">
        <v>1075</v>
      </c>
    </row>
    <row r="50" spans="1:5" ht="15" x14ac:dyDescent="0.25">
      <c r="A50" s="52" t="s">
        <v>1124</v>
      </c>
      <c r="B50" s="52" t="s">
        <v>1125</v>
      </c>
      <c r="C50" s="52" t="s">
        <v>1073</v>
      </c>
      <c r="D50" s="52" t="s">
        <v>1074</v>
      </c>
      <c r="E50" s="52" t="s">
        <v>1075</v>
      </c>
    </row>
    <row r="51" spans="1:5" ht="15" x14ac:dyDescent="0.25"/>
    <row r="52" spans="1:5" ht="15" x14ac:dyDescent="0.25"/>
    <row r="53" spans="1:5" ht="19.5" x14ac:dyDescent="0.25">
      <c r="A53" s="71" t="s">
        <v>1136</v>
      </c>
      <c r="B53" s="71"/>
      <c r="C53" s="71"/>
      <c r="D53" s="71"/>
      <c r="E53" s="71"/>
    </row>
    <row r="54" spans="1:5" ht="15" x14ac:dyDescent="0.25"/>
    <row r="55" spans="1:5" ht="15" x14ac:dyDescent="0.25">
      <c r="A55" s="53" t="s">
        <v>1065</v>
      </c>
      <c r="B55" s="55" t="s">
        <v>1066</v>
      </c>
      <c r="C55" s="64" t="s">
        <v>1067</v>
      </c>
      <c r="D55" s="64" t="s">
        <v>1068</v>
      </c>
      <c r="E55" s="64" t="s">
        <v>1069</v>
      </c>
    </row>
    <row r="56" spans="1:5" ht="15" x14ac:dyDescent="0.25">
      <c r="A56" s="53" t="s">
        <v>1070</v>
      </c>
      <c r="B56" s="55"/>
      <c r="C56" s="64"/>
      <c r="D56" s="64"/>
      <c r="E56" s="64"/>
    </row>
    <row r="57" spans="1:5" ht="15" x14ac:dyDescent="0.25">
      <c r="A57" s="52" t="s">
        <v>1071</v>
      </c>
      <c r="B57" s="56" t="s">
        <v>1072</v>
      </c>
      <c r="C57" s="65">
        <v>12.3</v>
      </c>
      <c r="D57" s="65" t="s">
        <v>1074</v>
      </c>
      <c r="E57" s="65">
        <f>C57*D57</f>
        <v>12.3</v>
      </c>
    </row>
    <row r="58" spans="1:5" ht="15" x14ac:dyDescent="0.25">
      <c r="A58" s="52" t="s">
        <v>1076</v>
      </c>
      <c r="B58" s="56" t="s">
        <v>1077</v>
      </c>
      <c r="C58" s="65">
        <v>98.18</v>
      </c>
      <c r="D58" s="65" t="s">
        <v>1074</v>
      </c>
      <c r="E58" s="65">
        <f>C58*D58</f>
        <v>98.18</v>
      </c>
    </row>
    <row r="59" spans="1:5" ht="15" x14ac:dyDescent="0.25">
      <c r="A59" s="52" t="s">
        <v>1078</v>
      </c>
      <c r="B59" s="56" t="s">
        <v>1079</v>
      </c>
      <c r="C59" s="65">
        <v>45</v>
      </c>
      <c r="D59" s="65" t="s">
        <v>1074</v>
      </c>
      <c r="E59" s="65">
        <f>C59*D59</f>
        <v>45</v>
      </c>
    </row>
    <row r="60" spans="1:5" ht="15" x14ac:dyDescent="0.25">
      <c r="A60" s="52" t="s">
        <v>1080</v>
      </c>
      <c r="B60" s="56" t="s">
        <v>1081</v>
      </c>
      <c r="C60" s="65">
        <v>20</v>
      </c>
      <c r="D60" s="65" t="s">
        <v>1074</v>
      </c>
      <c r="E60" s="65">
        <f>C60*D60</f>
        <v>20</v>
      </c>
    </row>
    <row r="61" spans="1:5" ht="15" x14ac:dyDescent="0.25">
      <c r="A61" s="53" t="s">
        <v>1082</v>
      </c>
      <c r="B61" s="55"/>
      <c r="C61" s="72"/>
      <c r="D61" s="72"/>
      <c r="E61" s="72"/>
    </row>
    <row r="62" spans="1:5" ht="15" x14ac:dyDescent="0.25">
      <c r="A62" s="52" t="s">
        <v>1083</v>
      </c>
      <c r="B62" s="56" t="s">
        <v>1084</v>
      </c>
      <c r="C62" s="65">
        <v>8.5</v>
      </c>
      <c r="D62" s="65" t="s">
        <v>1085</v>
      </c>
      <c r="E62" s="65">
        <f>C62*D62</f>
        <v>17</v>
      </c>
    </row>
    <row r="63" spans="1:5" ht="15" x14ac:dyDescent="0.25">
      <c r="A63" s="52" t="s">
        <v>1086</v>
      </c>
      <c r="B63" s="56" t="s">
        <v>1087</v>
      </c>
      <c r="C63" s="65">
        <v>8</v>
      </c>
      <c r="D63" s="65" t="s">
        <v>1074</v>
      </c>
      <c r="E63" s="65">
        <f>C63*D63</f>
        <v>8</v>
      </c>
    </row>
    <row r="64" spans="1:5" ht="15" x14ac:dyDescent="0.25">
      <c r="A64" s="52" t="s">
        <v>1088</v>
      </c>
      <c r="B64" s="56" t="s">
        <v>1089</v>
      </c>
      <c r="C64" s="65">
        <v>5</v>
      </c>
      <c r="D64" s="65" t="s">
        <v>1090</v>
      </c>
      <c r="E64" s="65">
        <f>C64*D64</f>
        <v>15</v>
      </c>
    </row>
    <row r="65" spans="1:5" ht="15" x14ac:dyDescent="0.25">
      <c r="A65" s="53" t="s">
        <v>1091</v>
      </c>
      <c r="B65" s="55"/>
      <c r="C65" s="72"/>
      <c r="D65" s="72"/>
      <c r="E65" s="72"/>
    </row>
    <row r="66" spans="1:5" ht="15" x14ac:dyDescent="0.25">
      <c r="A66" s="52" t="s">
        <v>1092</v>
      </c>
      <c r="B66" s="56" t="s">
        <v>1093</v>
      </c>
      <c r="C66" s="65">
        <v>51.82</v>
      </c>
      <c r="D66" s="65" t="s">
        <v>1074</v>
      </c>
      <c r="E66" s="65">
        <f>C66*D66</f>
        <v>51.82</v>
      </c>
    </row>
    <row r="67" spans="1:5" ht="15" x14ac:dyDescent="0.25">
      <c r="A67" s="52" t="s">
        <v>1094</v>
      </c>
      <c r="B67" s="56" t="s">
        <v>1095</v>
      </c>
      <c r="C67" s="65">
        <v>51.82</v>
      </c>
      <c r="D67" s="65" t="s">
        <v>1074</v>
      </c>
      <c r="E67" s="65">
        <f>C67*D67</f>
        <v>51.82</v>
      </c>
    </row>
    <row r="68" spans="1:5" ht="15" x14ac:dyDescent="0.25">
      <c r="A68" s="52" t="s">
        <v>1224</v>
      </c>
      <c r="B68" s="56" t="s">
        <v>1223</v>
      </c>
      <c r="C68" s="65">
        <v>35</v>
      </c>
      <c r="D68" s="65" t="s">
        <v>1085</v>
      </c>
      <c r="E68" s="65">
        <f>C68*D68</f>
        <v>70</v>
      </c>
    </row>
    <row r="69" spans="1:5" ht="15" x14ac:dyDescent="0.25">
      <c r="A69" s="52" t="s">
        <v>1226</v>
      </c>
      <c r="B69" s="56" t="s">
        <v>1225</v>
      </c>
      <c r="C69" s="65">
        <v>55</v>
      </c>
      <c r="D69" s="65" t="s">
        <v>1074</v>
      </c>
      <c r="E69" s="65">
        <f>C69*D69</f>
        <v>55</v>
      </c>
    </row>
    <row r="70" spans="1:5" ht="15" x14ac:dyDescent="0.25">
      <c r="A70" s="53" t="s">
        <v>1100</v>
      </c>
      <c r="B70" s="55"/>
      <c r="C70" s="72"/>
      <c r="D70" s="72"/>
      <c r="E70" s="72"/>
    </row>
    <row r="71" spans="1:5" ht="15" x14ac:dyDescent="0.25">
      <c r="A71" s="52" t="s">
        <v>1101</v>
      </c>
      <c r="B71" s="56" t="s">
        <v>1102</v>
      </c>
      <c r="C71" s="65">
        <v>12.36</v>
      </c>
      <c r="D71" s="65" t="s">
        <v>1074</v>
      </c>
      <c r="E71" s="65">
        <f>C71*D71</f>
        <v>12.36</v>
      </c>
    </row>
    <row r="72" spans="1:5" ht="15" x14ac:dyDescent="0.25">
      <c r="A72" s="52" t="s">
        <v>1103</v>
      </c>
      <c r="B72" s="56" t="s">
        <v>1104</v>
      </c>
      <c r="C72" s="65">
        <v>23.99</v>
      </c>
      <c r="D72" s="65" t="s">
        <v>1074</v>
      </c>
      <c r="E72" s="65">
        <f>C72*D72</f>
        <v>23.99</v>
      </c>
    </row>
    <row r="73" spans="1:5" ht="15" x14ac:dyDescent="0.25">
      <c r="A73" s="53" t="s">
        <v>1105</v>
      </c>
      <c r="B73" s="55"/>
      <c r="C73" s="72"/>
      <c r="D73" s="72"/>
      <c r="E73" s="72"/>
    </row>
    <row r="74" spans="1:5" ht="15" x14ac:dyDescent="0.25">
      <c r="A74" s="52" t="s">
        <v>1106</v>
      </c>
      <c r="B74" s="56" t="s">
        <v>1107</v>
      </c>
      <c r="C74" s="65">
        <v>10</v>
      </c>
      <c r="D74" s="65" t="s">
        <v>1074</v>
      </c>
      <c r="E74" s="65">
        <f t="shared" ref="E74:E83" si="0">C74*D74</f>
        <v>10</v>
      </c>
    </row>
    <row r="75" spans="1:5" ht="15" x14ac:dyDescent="0.25">
      <c r="A75" s="52" t="s">
        <v>1108</v>
      </c>
      <c r="B75" s="56" t="s">
        <v>1109</v>
      </c>
      <c r="C75" s="65">
        <v>5</v>
      </c>
      <c r="D75" s="65" t="s">
        <v>1074</v>
      </c>
      <c r="E75" s="65">
        <f t="shared" si="0"/>
        <v>5</v>
      </c>
    </row>
    <row r="76" spans="1:5" ht="15" x14ac:dyDescent="0.25">
      <c r="A76" s="52" t="s">
        <v>1110</v>
      </c>
      <c r="B76" s="56" t="s">
        <v>1111</v>
      </c>
      <c r="C76" s="65">
        <v>12</v>
      </c>
      <c r="D76" s="65" t="s">
        <v>1074</v>
      </c>
      <c r="E76" s="65">
        <f t="shared" si="0"/>
        <v>12</v>
      </c>
    </row>
    <row r="77" spans="1:5" ht="15" x14ac:dyDescent="0.25">
      <c r="A77" s="52" t="s">
        <v>1112</v>
      </c>
      <c r="B77" s="56" t="s">
        <v>1113</v>
      </c>
      <c r="C77" s="65">
        <v>25.51</v>
      </c>
      <c r="D77" s="65" t="s">
        <v>1074</v>
      </c>
      <c r="E77" s="65">
        <f t="shared" si="0"/>
        <v>25.51</v>
      </c>
    </row>
    <row r="78" spans="1:5" ht="15" x14ac:dyDescent="0.25">
      <c r="A78" s="52" t="s">
        <v>1114</v>
      </c>
      <c r="B78" s="56" t="s">
        <v>1115</v>
      </c>
      <c r="C78" s="65">
        <v>30</v>
      </c>
      <c r="D78" s="65" t="s">
        <v>1074</v>
      </c>
      <c r="E78" s="65">
        <f t="shared" si="0"/>
        <v>30</v>
      </c>
    </row>
    <row r="79" spans="1:5" ht="15" x14ac:dyDescent="0.25">
      <c r="A79" s="52" t="s">
        <v>1116</v>
      </c>
      <c r="B79" s="56" t="s">
        <v>1117</v>
      </c>
      <c r="C79" s="65">
        <v>7</v>
      </c>
      <c r="D79" s="65" t="s">
        <v>1074</v>
      </c>
      <c r="E79" s="65">
        <f t="shared" si="0"/>
        <v>7</v>
      </c>
    </row>
    <row r="80" spans="1:5" ht="15" x14ac:dyDescent="0.25">
      <c r="A80" s="52" t="s">
        <v>1118</v>
      </c>
      <c r="B80" s="56" t="s">
        <v>1119</v>
      </c>
      <c r="C80" s="65">
        <v>5</v>
      </c>
      <c r="D80" s="65" t="s">
        <v>1074</v>
      </c>
      <c r="E80" s="65">
        <f t="shared" si="0"/>
        <v>5</v>
      </c>
    </row>
    <row r="81" spans="1:9" ht="15" x14ac:dyDescent="0.25">
      <c r="A81" s="52" t="s">
        <v>1120</v>
      </c>
      <c r="B81" s="56" t="s">
        <v>1121</v>
      </c>
      <c r="C81" s="65">
        <v>4</v>
      </c>
      <c r="D81" s="65" t="s">
        <v>1090</v>
      </c>
      <c r="E81" s="65">
        <f t="shared" si="0"/>
        <v>12</v>
      </c>
    </row>
    <row r="82" spans="1:9" ht="15" x14ac:dyDescent="0.25">
      <c r="A82" s="52" t="s">
        <v>1122</v>
      </c>
      <c r="B82" s="56" t="s">
        <v>1123</v>
      </c>
      <c r="C82" s="65">
        <v>2.5</v>
      </c>
      <c r="D82" s="65" t="s">
        <v>1090</v>
      </c>
      <c r="E82" s="65">
        <f t="shared" si="0"/>
        <v>7.5</v>
      </c>
    </row>
    <row r="83" spans="1:9" ht="15" x14ac:dyDescent="0.25">
      <c r="A83" s="52" t="s">
        <v>1124</v>
      </c>
      <c r="B83" s="56" t="s">
        <v>1125</v>
      </c>
      <c r="C83" s="65">
        <v>2.5</v>
      </c>
      <c r="D83" s="65" t="s">
        <v>1090</v>
      </c>
      <c r="E83" s="65">
        <f t="shared" si="0"/>
        <v>7.5</v>
      </c>
    </row>
    <row r="84" spans="1:9" ht="15" x14ac:dyDescent="0.25">
      <c r="A84" s="53" t="s">
        <v>1134</v>
      </c>
      <c r="B84" s="55"/>
      <c r="C84" s="72"/>
      <c r="D84" s="72"/>
      <c r="E84" s="72"/>
    </row>
    <row r="85" spans="1:9" ht="15" x14ac:dyDescent="0.25">
      <c r="A85" s="52" t="s">
        <v>1092</v>
      </c>
      <c r="B85" s="56" t="s">
        <v>1093</v>
      </c>
      <c r="C85" s="65">
        <v>51.82</v>
      </c>
      <c r="D85" s="65" t="s">
        <v>1074</v>
      </c>
      <c r="E85" s="65">
        <f>C85*D85</f>
        <v>51.82</v>
      </c>
    </row>
    <row r="86" spans="1:9" ht="15" x14ac:dyDescent="0.25">
      <c r="A86" s="52" t="s">
        <v>1229</v>
      </c>
      <c r="B86" s="56" t="s">
        <v>1228</v>
      </c>
      <c r="C86" s="65">
        <v>30</v>
      </c>
      <c r="D86" s="65" t="s">
        <v>1074</v>
      </c>
      <c r="E86" s="65">
        <f>C86*D86</f>
        <v>30</v>
      </c>
    </row>
    <row r="87" spans="1:9" ht="15" x14ac:dyDescent="0.25">
      <c r="A87" s="52" t="s">
        <v>1128</v>
      </c>
      <c r="B87" s="56" t="s">
        <v>1129</v>
      </c>
      <c r="C87" s="65">
        <v>7</v>
      </c>
      <c r="D87" s="65" t="s">
        <v>1074</v>
      </c>
      <c r="E87" s="65">
        <f>C87*D87</f>
        <v>7</v>
      </c>
    </row>
    <row r="88" spans="1:9" ht="15" x14ac:dyDescent="0.25">
      <c r="A88" s="52" t="s">
        <v>1130</v>
      </c>
      <c r="B88" s="56" t="s">
        <v>1131</v>
      </c>
      <c r="C88" s="65">
        <v>4</v>
      </c>
      <c r="D88" s="65" t="s">
        <v>1074</v>
      </c>
      <c r="E88" s="65">
        <f>C88*D88</f>
        <v>4</v>
      </c>
    </row>
    <row r="89" spans="1:9" ht="15" x14ac:dyDescent="0.25">
      <c r="A89" s="52" t="s">
        <v>1124</v>
      </c>
      <c r="B89" s="56" t="s">
        <v>1125</v>
      </c>
      <c r="C89" s="65">
        <v>2.5</v>
      </c>
      <c r="D89" s="65" t="s">
        <v>1074</v>
      </c>
      <c r="E89" s="65">
        <f>C89*D89</f>
        <v>2.5</v>
      </c>
    </row>
    <row r="90" spans="1:9" ht="15" x14ac:dyDescent="0.25">
      <c r="A90" s="53" t="s">
        <v>1135</v>
      </c>
      <c r="B90" s="55"/>
      <c r="C90" s="72"/>
      <c r="D90" s="72"/>
      <c r="E90" s="72"/>
    </row>
    <row r="91" spans="1:9" ht="15" x14ac:dyDescent="0.25">
      <c r="A91" s="52" t="s">
        <v>1132</v>
      </c>
      <c r="B91" s="56" t="s">
        <v>1133</v>
      </c>
      <c r="C91" s="65">
        <v>8.5</v>
      </c>
      <c r="D91" s="65" t="s">
        <v>1074</v>
      </c>
      <c r="E91" s="65">
        <f>C91*D91</f>
        <v>8.5</v>
      </c>
    </row>
    <row r="92" spans="1:9" ht="15" x14ac:dyDescent="0.25">
      <c r="A92" s="52" t="s">
        <v>1122</v>
      </c>
      <c r="B92" s="56" t="s">
        <v>1123</v>
      </c>
      <c r="C92" s="65">
        <v>2.5</v>
      </c>
      <c r="D92" s="65" t="s">
        <v>1074</v>
      </c>
      <c r="E92" s="65">
        <f>C92*D92</f>
        <v>2.5</v>
      </c>
    </row>
    <row r="93" spans="1:9" ht="15" x14ac:dyDescent="0.25">
      <c r="A93" s="54" t="s">
        <v>1124</v>
      </c>
      <c r="B93" s="57" t="s">
        <v>1125</v>
      </c>
      <c r="C93" s="66">
        <v>2.5</v>
      </c>
      <c r="D93" s="66" t="s">
        <v>1074</v>
      </c>
      <c r="E93" s="66">
        <f>C93*D93</f>
        <v>2.5</v>
      </c>
    </row>
    <row r="94" spans="1:9" ht="15" x14ac:dyDescent="0.25"/>
    <row r="95" spans="1:9" ht="15" x14ac:dyDescent="0.25"/>
    <row r="96" spans="1:9" ht="30" customHeight="1" x14ac:dyDescent="0.3">
      <c r="A96" s="81" t="s">
        <v>1173</v>
      </c>
      <c r="B96" s="81"/>
      <c r="C96" s="81"/>
      <c r="D96" s="81"/>
      <c r="E96" s="81"/>
      <c r="F96" s="81"/>
      <c r="G96" s="81"/>
      <c r="H96" s="81"/>
      <c r="I96" s="81"/>
    </row>
    <row r="97" spans="1:9" ht="30" customHeight="1" x14ac:dyDescent="0.25">
      <c r="A97" s="59" t="s">
        <v>1065</v>
      </c>
      <c r="B97" s="58" t="s">
        <v>1066</v>
      </c>
      <c r="C97" s="59" t="s">
        <v>1174</v>
      </c>
      <c r="D97" s="58" t="s">
        <v>1137</v>
      </c>
      <c r="E97" s="58" t="s">
        <v>1138</v>
      </c>
      <c r="F97" s="59" t="s">
        <v>1139</v>
      </c>
      <c r="G97" s="59" t="s">
        <v>1140</v>
      </c>
      <c r="H97" s="58" t="s">
        <v>10</v>
      </c>
      <c r="I97" s="58" t="s">
        <v>1175</v>
      </c>
    </row>
    <row r="98" spans="1:9" ht="30" x14ac:dyDescent="0.25">
      <c r="A98" s="63" t="str">
        <f t="shared" ref="A98:C101" si="1">A57</f>
        <v>10 00285</v>
      </c>
      <c r="B98" s="1" t="str">
        <f t="shared" si="1"/>
        <v>PAKO ŞALTER YKL301025 3*25 BÜYÜK KASALI</v>
      </c>
      <c r="C98" s="60">
        <f t="shared" si="1"/>
        <v>12.3</v>
      </c>
      <c r="D98" s="67" t="s">
        <v>1141</v>
      </c>
      <c r="E98" s="1" t="s">
        <v>1142</v>
      </c>
      <c r="F98" s="60">
        <v>55</v>
      </c>
      <c r="G98" s="60">
        <f>F98-C98</f>
        <v>42.7</v>
      </c>
      <c r="H98" s="1" t="s">
        <v>1143</v>
      </c>
      <c r="I98" s="75" t="s">
        <v>1187</v>
      </c>
    </row>
    <row r="99" spans="1:9" ht="60" x14ac:dyDescent="0.25">
      <c r="A99" s="63" t="str">
        <f t="shared" si="1"/>
        <v>10 00303</v>
      </c>
      <c r="B99" s="1" t="str">
        <f t="shared" si="1"/>
        <v>SİGORTA KAÇAK AKIMLI A9R41425 4'LÜ (25A)</v>
      </c>
      <c r="C99" s="60">
        <f t="shared" si="1"/>
        <v>98.18</v>
      </c>
      <c r="D99" s="67" t="s">
        <v>1144</v>
      </c>
      <c r="E99" s="1" t="s">
        <v>1177</v>
      </c>
      <c r="F99" s="60">
        <v>0</v>
      </c>
      <c r="G99" s="60">
        <f>F99-C99</f>
        <v>-98.18</v>
      </c>
      <c r="H99" s="1" t="s">
        <v>1178</v>
      </c>
      <c r="I99" s="75" t="s">
        <v>1188</v>
      </c>
    </row>
    <row r="100" spans="1:9" ht="30" x14ac:dyDescent="0.25">
      <c r="A100" s="63" t="str">
        <f t="shared" si="1"/>
        <v>10 02663</v>
      </c>
      <c r="B100" s="1" t="str">
        <f t="shared" si="1"/>
        <v>SİGORTA A9F74425 SCHNEİDER İC60N,6KA,25A</v>
      </c>
      <c r="C100" s="60">
        <f t="shared" si="1"/>
        <v>45</v>
      </c>
      <c r="D100" s="68" t="s">
        <v>1145</v>
      </c>
      <c r="E100" s="1" t="s">
        <v>1179</v>
      </c>
      <c r="F100" s="60">
        <v>120.78</v>
      </c>
      <c r="G100" s="60">
        <f>F100-C100</f>
        <v>75.78</v>
      </c>
      <c r="H100" s="1" t="s">
        <v>1180</v>
      </c>
      <c r="I100" s="75" t="s">
        <v>1189</v>
      </c>
    </row>
    <row r="101" spans="1:9" ht="30" x14ac:dyDescent="0.25">
      <c r="A101" s="63" t="str">
        <f t="shared" si="1"/>
        <v>10 00302</v>
      </c>
      <c r="B101" s="1" t="str">
        <f t="shared" si="1"/>
        <v>SİGORTA A9F74103 1*3</v>
      </c>
      <c r="C101" s="60">
        <f t="shared" si="1"/>
        <v>20</v>
      </c>
      <c r="D101" s="68" t="s">
        <v>1145</v>
      </c>
      <c r="E101" s="1" t="s">
        <v>1181</v>
      </c>
      <c r="F101" s="60">
        <v>44.86</v>
      </c>
      <c r="G101" s="60">
        <f>F101-C101</f>
        <v>24.86</v>
      </c>
      <c r="H101" s="1" t="s">
        <v>1182</v>
      </c>
      <c r="I101" s="75" t="s">
        <v>1190</v>
      </c>
    </row>
    <row r="102" spans="1:9" ht="30" x14ac:dyDescent="0.25">
      <c r="A102" s="63" t="str">
        <f t="shared" ref="A102:C104" si="2">A62</f>
        <v>10 00294</v>
      </c>
      <c r="B102" s="1" t="str">
        <f t="shared" si="2"/>
        <v>MİNYATÜR RÖLE RXM4AB1P7 220V</v>
      </c>
      <c r="C102" s="60">
        <f t="shared" si="2"/>
        <v>8.5</v>
      </c>
      <c r="D102" s="69" t="s">
        <v>1146</v>
      </c>
      <c r="E102" s="1" t="s">
        <v>1075</v>
      </c>
      <c r="F102" s="60"/>
      <c r="G102" s="60"/>
      <c r="H102" s="1" t="s">
        <v>1147</v>
      </c>
      <c r="I102" s="75" t="s">
        <v>1191</v>
      </c>
    </row>
    <row r="103" spans="1:9" ht="30" x14ac:dyDescent="0.25">
      <c r="A103" s="63" t="str">
        <f t="shared" si="2"/>
        <v>10 01398</v>
      </c>
      <c r="B103" s="1" t="str">
        <f t="shared" si="2"/>
        <v>MİNYATÜR RÖLE RXM4AB1BD 24V 16 PİNLİ</v>
      </c>
      <c r="C103" s="60">
        <f t="shared" si="2"/>
        <v>8</v>
      </c>
      <c r="D103" s="69" t="s">
        <v>1146</v>
      </c>
      <c r="E103" s="1" t="s">
        <v>1075</v>
      </c>
      <c r="F103" s="60"/>
      <c r="G103" s="60"/>
      <c r="H103" s="1" t="s">
        <v>1147</v>
      </c>
      <c r="I103" s="75" t="s">
        <v>1192</v>
      </c>
    </row>
    <row r="104" spans="1:9" ht="30" x14ac:dyDescent="0.25">
      <c r="A104" s="63" t="str">
        <f t="shared" si="2"/>
        <v>10 00295</v>
      </c>
      <c r="B104" s="1" t="str">
        <f t="shared" si="2"/>
        <v>RÖLE SOKETİ RXZE2M114M</v>
      </c>
      <c r="C104" s="60">
        <f t="shared" si="2"/>
        <v>5</v>
      </c>
      <c r="D104" s="69" t="s">
        <v>1148</v>
      </c>
      <c r="E104" s="1" t="s">
        <v>1075</v>
      </c>
      <c r="F104" s="60"/>
      <c r="G104" s="60"/>
      <c r="H104" s="1" t="s">
        <v>1149</v>
      </c>
      <c r="I104" s="75" t="s">
        <v>1193</v>
      </c>
    </row>
    <row r="105" spans="1:9" ht="30" x14ac:dyDescent="0.25">
      <c r="A105" s="63" t="str">
        <f t="shared" ref="A105:C108" si="3">A66</f>
        <v>10 00243</v>
      </c>
      <c r="B105" s="1" t="str">
        <f t="shared" si="3"/>
        <v>TERMİK RÖLESİ LR2K0305 0,54-0,8A</v>
      </c>
      <c r="C105" s="60">
        <f t="shared" si="3"/>
        <v>51.82</v>
      </c>
      <c r="D105" s="69" t="s">
        <v>1150</v>
      </c>
      <c r="E105" s="1" t="s">
        <v>1075</v>
      </c>
      <c r="F105" s="60"/>
      <c r="G105" s="60"/>
      <c r="H105" s="1" t="s">
        <v>1151</v>
      </c>
      <c r="I105" s="75" t="s">
        <v>1194</v>
      </c>
    </row>
    <row r="106" spans="1:9" ht="30" x14ac:dyDescent="0.25">
      <c r="A106" s="63" t="str">
        <f t="shared" si="3"/>
        <v>10 00248</v>
      </c>
      <c r="B106" s="1" t="str">
        <f t="shared" si="3"/>
        <v>TERMİK RÖLESİ LR2K0312 3,70-5,5A</v>
      </c>
      <c r="C106" s="60">
        <f t="shared" si="3"/>
        <v>51.82</v>
      </c>
      <c r="D106" s="69" t="s">
        <v>1150</v>
      </c>
      <c r="E106" s="1" t="s">
        <v>1075</v>
      </c>
      <c r="F106" s="60"/>
      <c r="G106" s="60"/>
      <c r="H106" s="1" t="s">
        <v>1151</v>
      </c>
      <c r="I106" s="74" t="s">
        <v>1195</v>
      </c>
    </row>
    <row r="107" spans="1:9" ht="30" x14ac:dyDescent="0.25">
      <c r="A107" s="63" t="str">
        <f t="shared" si="3"/>
        <v>10 04971</v>
      </c>
      <c r="B107" s="1" t="str">
        <f t="shared" si="3"/>
        <v>KONTAKTÖR LC1K0901B7 24V</v>
      </c>
      <c r="C107" s="60">
        <f t="shared" si="3"/>
        <v>35</v>
      </c>
      <c r="D107" s="69" t="s">
        <v>1150</v>
      </c>
      <c r="E107" s="1" t="s">
        <v>1075</v>
      </c>
      <c r="F107" s="60"/>
      <c r="G107" s="60"/>
      <c r="H107" s="1" t="s">
        <v>1227</v>
      </c>
      <c r="I107" s="75" t="s">
        <v>1196</v>
      </c>
    </row>
    <row r="108" spans="1:9" ht="30" x14ac:dyDescent="0.25">
      <c r="A108" s="63" t="str">
        <f t="shared" si="3"/>
        <v>10 01333</v>
      </c>
      <c r="B108" s="1" t="str">
        <f t="shared" si="3"/>
        <v>KONTAKTÖR LC1K1610B7 24V</v>
      </c>
      <c r="C108" s="60">
        <f t="shared" si="3"/>
        <v>55</v>
      </c>
      <c r="D108" s="69" t="s">
        <v>1150</v>
      </c>
      <c r="E108" s="1" t="s">
        <v>1075</v>
      </c>
      <c r="F108" s="60"/>
      <c r="G108" s="60"/>
      <c r="H108" s="1" t="s">
        <v>1227</v>
      </c>
      <c r="I108" s="74" t="s">
        <v>1197</v>
      </c>
    </row>
    <row r="109" spans="1:9" ht="30" x14ac:dyDescent="0.25">
      <c r="A109" s="63" t="str">
        <f t="shared" ref="A109:C110" si="4">A71</f>
        <v>10 02491</v>
      </c>
      <c r="B109" s="1" t="str">
        <f t="shared" si="4"/>
        <v>GÜÇ KAYNAĞI MDR 20/24</v>
      </c>
      <c r="C109" s="60">
        <f t="shared" si="4"/>
        <v>12.36</v>
      </c>
      <c r="D109" s="69" t="s">
        <v>1146</v>
      </c>
      <c r="E109" s="1" t="s">
        <v>1075</v>
      </c>
      <c r="F109" s="60"/>
      <c r="G109" s="60"/>
      <c r="H109" s="1" t="s">
        <v>1153</v>
      </c>
      <c r="I109" s="75" t="s">
        <v>1198</v>
      </c>
    </row>
    <row r="110" spans="1:9" ht="30" x14ac:dyDescent="0.25">
      <c r="A110" s="63" t="str">
        <f t="shared" si="4"/>
        <v>10 00258</v>
      </c>
      <c r="B110" s="1" t="str">
        <f t="shared" si="4"/>
        <v>FAZ KORUMA RÖLESİ MKS-03</v>
      </c>
      <c r="C110" s="60">
        <f t="shared" si="4"/>
        <v>23.99</v>
      </c>
      <c r="D110" s="67" t="s">
        <v>1154</v>
      </c>
      <c r="E110" s="1" t="s">
        <v>521</v>
      </c>
      <c r="F110" s="60">
        <v>98.25</v>
      </c>
      <c r="G110" s="60">
        <f>F110-C110</f>
        <v>74.260000000000005</v>
      </c>
      <c r="H110" s="1" t="s">
        <v>1155</v>
      </c>
      <c r="I110" s="75" t="s">
        <v>705</v>
      </c>
    </row>
    <row r="111" spans="1:9" ht="45" x14ac:dyDescent="0.25">
      <c r="A111" s="63" t="str">
        <f t="shared" ref="A111:C120" si="5">A74</f>
        <v>10 00266</v>
      </c>
      <c r="B111" s="1" t="str">
        <f t="shared" si="5"/>
        <v>BUTON İKİZ LAMBALI B102K20KY</v>
      </c>
      <c r="C111" s="60">
        <f t="shared" si="5"/>
        <v>10</v>
      </c>
      <c r="D111" s="69" t="s">
        <v>1146</v>
      </c>
      <c r="E111" s="1" t="s">
        <v>1075</v>
      </c>
      <c r="F111" s="60"/>
      <c r="G111" s="60"/>
      <c r="H111" s="1" t="s">
        <v>1156</v>
      </c>
      <c r="I111" s="75" t="s">
        <v>1199</v>
      </c>
    </row>
    <row r="112" spans="1:9" ht="75" x14ac:dyDescent="0.25">
      <c r="A112" s="63" t="str">
        <f t="shared" si="5"/>
        <v>10 00270</v>
      </c>
      <c r="B112" s="1" t="str">
        <f t="shared" si="5"/>
        <v>BUTON START B100DB</v>
      </c>
      <c r="C112" s="60">
        <f t="shared" si="5"/>
        <v>5</v>
      </c>
      <c r="D112" s="69" t="s">
        <v>1157</v>
      </c>
      <c r="E112" s="1" t="s">
        <v>1075</v>
      </c>
      <c r="F112" s="60"/>
      <c r="G112" s="60"/>
      <c r="H112" s="1" t="s">
        <v>1158</v>
      </c>
      <c r="I112" s="75" t="s">
        <v>1200</v>
      </c>
    </row>
    <row r="113" spans="1:9" ht="75" x14ac:dyDescent="0.25">
      <c r="A113" s="63" t="str">
        <f t="shared" si="5"/>
        <v>10 03445</v>
      </c>
      <c r="B113" s="1" t="str">
        <f t="shared" si="5"/>
        <v>BUTON ACİL STOP MANTAR B200EE</v>
      </c>
      <c r="C113" s="60">
        <f t="shared" si="5"/>
        <v>12</v>
      </c>
      <c r="D113" s="69" t="s">
        <v>1157</v>
      </c>
      <c r="E113" s="1" t="s">
        <v>1075</v>
      </c>
      <c r="F113" s="60"/>
      <c r="G113" s="60"/>
      <c r="H113" s="1" t="s">
        <v>1159</v>
      </c>
      <c r="I113" s="75" t="s">
        <v>1201</v>
      </c>
    </row>
    <row r="114" spans="1:9" ht="45" x14ac:dyDescent="0.25">
      <c r="A114" s="63" t="str">
        <f t="shared" si="5"/>
        <v>10 00237</v>
      </c>
      <c r="B114" s="1" t="str">
        <f t="shared" si="5"/>
        <v>TERMOSTAT DİJİTAL DT 481 GEMO</v>
      </c>
      <c r="C114" s="60">
        <f t="shared" si="5"/>
        <v>25.51</v>
      </c>
      <c r="D114" s="68" t="s">
        <v>1160</v>
      </c>
      <c r="E114" s="1" t="s">
        <v>1183</v>
      </c>
      <c r="F114" s="60">
        <v>52.44</v>
      </c>
      <c r="G114" s="60">
        <f>F114-C114</f>
        <v>26.929999999999996</v>
      </c>
      <c r="H114" s="1" t="s">
        <v>1184</v>
      </c>
      <c r="I114" s="75" t="s">
        <v>1202</v>
      </c>
    </row>
    <row r="115" spans="1:9" ht="45" x14ac:dyDescent="0.25">
      <c r="A115" s="63" t="str">
        <f t="shared" si="5"/>
        <v>10 10465</v>
      </c>
      <c r="B115" s="1" t="str">
        <f t="shared" si="5"/>
        <v>ZAMAN ROLESİ DZ 482 DİJİTAL GEMO</v>
      </c>
      <c r="C115" s="60">
        <f t="shared" si="5"/>
        <v>30</v>
      </c>
      <c r="D115" s="68" t="s">
        <v>1160</v>
      </c>
      <c r="E115" s="1" t="s">
        <v>1185</v>
      </c>
      <c r="F115" s="60">
        <v>52.89</v>
      </c>
      <c r="G115" s="60">
        <f>F115-C115</f>
        <v>22.89</v>
      </c>
      <c r="H115" s="1" t="s">
        <v>1186</v>
      </c>
      <c r="I115" s="75" t="s">
        <v>1203</v>
      </c>
    </row>
    <row r="116" spans="1:9" ht="45" x14ac:dyDescent="0.25">
      <c r="A116" s="63" t="str">
        <f t="shared" si="5"/>
        <v>10 00263</v>
      </c>
      <c r="B116" s="1" t="str">
        <f t="shared" si="5"/>
        <v>BUTON MANDAL B100SL20Y</v>
      </c>
      <c r="C116" s="60">
        <f t="shared" si="5"/>
        <v>7</v>
      </c>
      <c r="D116" s="69" t="s">
        <v>1157</v>
      </c>
      <c r="E116" s="1" t="s">
        <v>1075</v>
      </c>
      <c r="F116" s="60"/>
      <c r="G116" s="60"/>
      <c r="H116" s="1" t="s">
        <v>1158</v>
      </c>
      <c r="I116" s="75" t="s">
        <v>1204</v>
      </c>
    </row>
    <row r="117" spans="1:9" ht="75" x14ac:dyDescent="0.25">
      <c r="A117" s="63" t="str">
        <f t="shared" si="5"/>
        <v>10 00272</v>
      </c>
      <c r="B117" s="1" t="str">
        <f t="shared" si="5"/>
        <v>BUTON START B100DM</v>
      </c>
      <c r="C117" s="60">
        <f t="shared" si="5"/>
        <v>5</v>
      </c>
      <c r="D117" s="69" t="s">
        <v>1157</v>
      </c>
      <c r="E117" s="1" t="s">
        <v>1075</v>
      </c>
      <c r="F117" s="60"/>
      <c r="G117" s="60"/>
      <c r="H117" s="1" t="s">
        <v>1158</v>
      </c>
      <c r="I117" s="75" t="s">
        <v>1205</v>
      </c>
    </row>
    <row r="118" spans="1:9" ht="30" x14ac:dyDescent="0.25">
      <c r="A118" s="63" t="str">
        <f t="shared" si="5"/>
        <v>10 00278</v>
      </c>
      <c r="B118" s="1" t="str">
        <f t="shared" si="5"/>
        <v>SİNYAL LAMBASI S14K KIRMIZI 220V</v>
      </c>
      <c r="C118" s="60">
        <f t="shared" si="5"/>
        <v>4</v>
      </c>
      <c r="D118" s="67" t="s">
        <v>1161</v>
      </c>
      <c r="E118" s="1" t="s">
        <v>1162</v>
      </c>
      <c r="F118" s="60">
        <v>20</v>
      </c>
      <c r="G118" s="60">
        <f>F118-C118</f>
        <v>16</v>
      </c>
      <c r="H118" s="1" t="s">
        <v>1163</v>
      </c>
      <c r="I118" s="75" t="s">
        <v>1206</v>
      </c>
    </row>
    <row r="119" spans="1:9" ht="60" x14ac:dyDescent="0.25">
      <c r="A119" s="63" t="str">
        <f t="shared" si="5"/>
        <v>10 00268</v>
      </c>
      <c r="B119" s="1" t="str">
        <f t="shared" si="5"/>
        <v>KONTAK BLOK NC B2</v>
      </c>
      <c r="C119" s="60">
        <f t="shared" si="5"/>
        <v>2.5</v>
      </c>
      <c r="D119" s="69" t="s">
        <v>1146</v>
      </c>
      <c r="E119" s="1" t="s">
        <v>1075</v>
      </c>
      <c r="F119" s="60"/>
      <c r="G119" s="60"/>
      <c r="H119" s="1" t="s">
        <v>1164</v>
      </c>
      <c r="I119" s="75" t="s">
        <v>1207</v>
      </c>
    </row>
    <row r="120" spans="1:9" ht="60" x14ac:dyDescent="0.25">
      <c r="A120" s="63" t="str">
        <f t="shared" si="5"/>
        <v>10 00267</v>
      </c>
      <c r="B120" s="1" t="str">
        <f t="shared" si="5"/>
        <v>KONTAK BLOK NO B1</v>
      </c>
      <c r="C120" s="60">
        <f t="shared" si="5"/>
        <v>2.5</v>
      </c>
      <c r="D120" s="69" t="s">
        <v>1146</v>
      </c>
      <c r="E120" s="1" t="s">
        <v>1075</v>
      </c>
      <c r="F120" s="60"/>
      <c r="G120" s="60"/>
      <c r="H120" s="1" t="s">
        <v>1165</v>
      </c>
      <c r="I120" s="75" t="s">
        <v>1208</v>
      </c>
    </row>
    <row r="121" spans="1:9" ht="30" x14ac:dyDescent="0.25">
      <c r="A121" s="63" t="str">
        <f t="shared" ref="A121:C125" si="6">A85</f>
        <v>10 00243</v>
      </c>
      <c r="B121" s="1" t="str">
        <f t="shared" si="6"/>
        <v>TERMİK RÖLESİ LR2K0305 0,54-0,8A</v>
      </c>
      <c r="C121" s="60">
        <f t="shared" si="6"/>
        <v>51.82</v>
      </c>
      <c r="D121" s="69" t="s">
        <v>1150</v>
      </c>
      <c r="E121" s="1" t="s">
        <v>1075</v>
      </c>
      <c r="F121" s="60"/>
      <c r="G121" s="60"/>
      <c r="H121" s="1" t="s">
        <v>1151</v>
      </c>
      <c r="I121" s="75" t="s">
        <v>1194</v>
      </c>
    </row>
    <row r="122" spans="1:9" ht="30" x14ac:dyDescent="0.25">
      <c r="A122" s="63" t="str">
        <f t="shared" si="6"/>
        <v>10 02304</v>
      </c>
      <c r="B122" s="1" t="str">
        <f t="shared" si="6"/>
        <v>KONTAKTÖR LC1K0610B7 24V DS</v>
      </c>
      <c r="C122" s="60">
        <f t="shared" si="6"/>
        <v>30</v>
      </c>
      <c r="D122" s="69" t="s">
        <v>1150</v>
      </c>
      <c r="E122" s="1" t="s">
        <v>1075</v>
      </c>
      <c r="F122" s="60"/>
      <c r="G122" s="60"/>
      <c r="H122" s="1" t="s">
        <v>1152</v>
      </c>
      <c r="I122" s="75" t="s">
        <v>1209</v>
      </c>
    </row>
    <row r="123" spans="1:9" ht="45" x14ac:dyDescent="0.25">
      <c r="A123" s="63" t="str">
        <f t="shared" si="6"/>
        <v>10 00262</v>
      </c>
      <c r="B123" s="1" t="str">
        <f t="shared" si="6"/>
        <v>BUTON MANDAL B100S20</v>
      </c>
      <c r="C123" s="60">
        <f t="shared" si="6"/>
        <v>7</v>
      </c>
      <c r="D123" s="69" t="s">
        <v>1157</v>
      </c>
      <c r="E123" s="1" t="s">
        <v>1075</v>
      </c>
      <c r="F123" s="60"/>
      <c r="G123" s="60"/>
      <c r="H123" s="1" t="s">
        <v>1158</v>
      </c>
      <c r="I123" s="75" t="s">
        <v>1210</v>
      </c>
    </row>
    <row r="124" spans="1:9" ht="30" x14ac:dyDescent="0.25">
      <c r="A124" s="63" t="str">
        <f t="shared" si="6"/>
        <v>10 00279</v>
      </c>
      <c r="B124" s="1" t="str">
        <f t="shared" si="6"/>
        <v>SİNYAL LAMBASI S14B BEYAZ 220V</v>
      </c>
      <c r="C124" s="60">
        <f t="shared" si="6"/>
        <v>4</v>
      </c>
      <c r="D124" s="67" t="s">
        <v>1161</v>
      </c>
      <c r="E124" s="1" t="s">
        <v>1166</v>
      </c>
      <c r="F124" s="60">
        <v>20</v>
      </c>
      <c r="G124" s="60">
        <f>F124-C124</f>
        <v>16</v>
      </c>
      <c r="H124" s="1" t="s">
        <v>1163</v>
      </c>
      <c r="I124" s="75" t="s">
        <v>1211</v>
      </c>
    </row>
    <row r="125" spans="1:9" ht="60" x14ac:dyDescent="0.25">
      <c r="A125" s="63" t="str">
        <f t="shared" si="6"/>
        <v>10 00267</v>
      </c>
      <c r="B125" s="1" t="str">
        <f t="shared" si="6"/>
        <v>KONTAK BLOK NO B1</v>
      </c>
      <c r="C125" s="60">
        <f t="shared" si="6"/>
        <v>2.5</v>
      </c>
      <c r="D125" s="69" t="s">
        <v>1146</v>
      </c>
      <c r="E125" s="1" t="s">
        <v>1075</v>
      </c>
      <c r="F125" s="60"/>
      <c r="G125" s="60"/>
      <c r="H125" s="1" t="s">
        <v>1165</v>
      </c>
      <c r="I125" s="75" t="s">
        <v>1208</v>
      </c>
    </row>
    <row r="126" spans="1:9" ht="30" x14ac:dyDescent="0.25">
      <c r="A126" s="63" t="str">
        <f t="shared" ref="A126:C128" si="7">A91</f>
        <v>10 01337</v>
      </c>
      <c r="B126" s="1" t="str">
        <f t="shared" si="7"/>
        <v>MİNYATÜR RÖLE RSB2A080P7 2 KUTUPLU 8 PİNLİ</v>
      </c>
      <c r="C126" s="60">
        <f t="shared" si="7"/>
        <v>8.5</v>
      </c>
      <c r="D126" s="69" t="s">
        <v>1167</v>
      </c>
      <c r="E126" s="1" t="s">
        <v>1168</v>
      </c>
      <c r="F126" s="60">
        <v>9</v>
      </c>
      <c r="G126" s="60">
        <f>F126-C126</f>
        <v>0.5</v>
      </c>
      <c r="H126" s="1" t="s">
        <v>1169</v>
      </c>
      <c r="I126" s="75" t="s">
        <v>691</v>
      </c>
    </row>
    <row r="127" spans="1:9" ht="60" x14ac:dyDescent="0.25">
      <c r="A127" s="63" t="str">
        <f t="shared" si="7"/>
        <v>10 00268</v>
      </c>
      <c r="B127" s="1" t="str">
        <f t="shared" si="7"/>
        <v>KONTAK BLOK NC B2</v>
      </c>
      <c r="C127" s="60">
        <f t="shared" si="7"/>
        <v>2.5</v>
      </c>
      <c r="D127" s="69" t="s">
        <v>1146</v>
      </c>
      <c r="E127" s="1" t="s">
        <v>1075</v>
      </c>
      <c r="F127" s="60"/>
      <c r="G127" s="60"/>
      <c r="H127" s="1" t="s">
        <v>1164</v>
      </c>
      <c r="I127" s="75" t="s">
        <v>1207</v>
      </c>
    </row>
    <row r="128" spans="1:9" ht="60" x14ac:dyDescent="0.25">
      <c r="A128" s="73" t="str">
        <f t="shared" si="7"/>
        <v>10 00267</v>
      </c>
      <c r="B128" s="61" t="str">
        <f t="shared" si="7"/>
        <v>KONTAK BLOK NO B1</v>
      </c>
      <c r="C128" s="62">
        <f t="shared" si="7"/>
        <v>2.5</v>
      </c>
      <c r="D128" s="70" t="s">
        <v>1146</v>
      </c>
      <c r="E128" s="61" t="s">
        <v>1075</v>
      </c>
      <c r="F128" s="62"/>
      <c r="G128" s="62"/>
      <c r="H128" s="61" t="s">
        <v>1165</v>
      </c>
      <c r="I128" s="75" t="s">
        <v>1208</v>
      </c>
    </row>
    <row r="129" spans="1:9" ht="15" x14ac:dyDescent="0.25">
      <c r="A129" s="63"/>
      <c r="B129" s="63"/>
      <c r="C129" s="63"/>
      <c r="D129" s="63"/>
      <c r="E129" s="63"/>
      <c r="F129" s="63"/>
      <c r="G129" s="63"/>
      <c r="H129" s="1"/>
      <c r="I129" s="25"/>
    </row>
    <row r="130" spans="1:9" ht="15" x14ac:dyDescent="0.25">
      <c r="A130" s="63"/>
      <c r="B130" s="63"/>
      <c r="C130" s="63"/>
      <c r="D130" s="63"/>
      <c r="E130" s="63"/>
      <c r="F130" s="63"/>
      <c r="G130" s="63"/>
      <c r="H130" s="1"/>
      <c r="I130" s="25"/>
    </row>
    <row r="131" spans="1:9" ht="15" x14ac:dyDescent="0.25">
      <c r="A131" s="82" t="s">
        <v>1176</v>
      </c>
      <c r="B131" s="82"/>
      <c r="C131" s="82"/>
      <c r="D131" s="82"/>
      <c r="E131" s="82"/>
      <c r="F131" s="82"/>
      <c r="G131" s="82"/>
      <c r="H131" s="83"/>
      <c r="I131" s="83"/>
    </row>
    <row r="132" spans="1:9" ht="51.95" customHeight="1" x14ac:dyDescent="0.25">
      <c r="A132" s="80" t="s">
        <v>1170</v>
      </c>
      <c r="B132" s="80"/>
      <c r="C132" s="60">
        <f>SUM(E57:E93)</f>
        <v>710.80000000000007</v>
      </c>
      <c r="D132" s="63"/>
      <c r="E132" s="84" t="s">
        <v>1212</v>
      </c>
      <c r="F132" s="84"/>
      <c r="G132" s="84"/>
      <c r="H132" s="84"/>
      <c r="I132" s="84"/>
    </row>
    <row r="133" spans="1:9" ht="51.95" customHeight="1" x14ac:dyDescent="0.25">
      <c r="A133" s="80" t="s">
        <v>1171</v>
      </c>
      <c r="B133" s="80"/>
      <c r="C133" s="60">
        <f>C132+(F98-C98)*--D57+(F99-C99)*--D58+(F100-C100)*--D59+(F101-C101)*--D60+(F110-C110)*--D72+(F114-C114)*--D77+(F115-C115)*--D78+(F118-C118)*--D81+(F124-C124)*--D88+(F126-C126)*--D91</f>
        <v>944.54000000000008</v>
      </c>
      <c r="D133" s="63"/>
      <c r="E133" s="84"/>
      <c r="F133" s="84"/>
      <c r="G133" s="84"/>
      <c r="H133" s="84"/>
      <c r="I133" s="84"/>
    </row>
    <row r="134" spans="1:9" ht="51.95" customHeight="1" x14ac:dyDescent="0.25">
      <c r="A134" s="80" t="s">
        <v>1172</v>
      </c>
      <c r="B134" s="80"/>
      <c r="C134" s="60">
        <f>C133-C132</f>
        <v>233.74</v>
      </c>
      <c r="D134" s="63"/>
      <c r="E134" s="84"/>
      <c r="F134" s="84"/>
      <c r="G134" s="84"/>
      <c r="H134" s="84"/>
      <c r="I134" s="84"/>
    </row>
    <row r="137" spans="1:9" ht="30" customHeight="1" x14ac:dyDescent="0.3">
      <c r="A137" s="85" t="s">
        <v>1213</v>
      </c>
      <c r="B137" s="85"/>
      <c r="C137" s="85"/>
      <c r="D137" s="85"/>
      <c r="E137" s="85"/>
      <c r="F137" s="85"/>
      <c r="G137" s="85"/>
      <c r="H137" s="85"/>
      <c r="I137" s="85"/>
    </row>
    <row r="138" spans="1:9" ht="24.95" customHeight="1" x14ac:dyDescent="0.25">
      <c r="A138" s="76"/>
      <c r="B138" s="76"/>
      <c r="C138" s="76"/>
      <c r="D138" s="76"/>
      <c r="E138" s="76"/>
      <c r="F138" s="76"/>
      <c r="G138" s="76"/>
      <c r="H138" s="76"/>
      <c r="I138" s="76"/>
    </row>
    <row r="139" spans="1:9" ht="33.950000000000003" customHeight="1" x14ac:dyDescent="0.25">
      <c r="A139" s="86" t="s">
        <v>1214</v>
      </c>
      <c r="B139" s="86"/>
      <c r="C139" s="86"/>
      <c r="D139" s="86"/>
      <c r="E139" s="86"/>
      <c r="F139" s="86"/>
      <c r="G139" s="86"/>
      <c r="H139" s="86"/>
      <c r="I139" s="86"/>
    </row>
    <row r="140" spans="1:9" ht="30" customHeight="1" x14ac:dyDescent="0.25">
      <c r="A140" s="87" t="s">
        <v>1215</v>
      </c>
      <c r="B140" s="87"/>
      <c r="C140" s="87"/>
      <c r="D140" s="87"/>
      <c r="E140" s="87"/>
      <c r="F140" s="87"/>
      <c r="G140" s="87"/>
      <c r="H140" s="87"/>
      <c r="I140" s="89" t="s">
        <v>1216</v>
      </c>
    </row>
    <row r="141" spans="1:9" ht="30" customHeight="1" x14ac:dyDescent="0.25">
      <c r="A141" s="87"/>
      <c r="B141" s="87"/>
      <c r="C141" s="87"/>
      <c r="D141" s="87"/>
      <c r="E141" s="87"/>
      <c r="F141" s="87"/>
      <c r="G141" s="87"/>
      <c r="H141" s="87"/>
      <c r="I141" s="89"/>
    </row>
    <row r="142" spans="1:9" ht="30" customHeight="1" x14ac:dyDescent="0.25">
      <c r="A142" s="87"/>
      <c r="B142" s="87"/>
      <c r="C142" s="87"/>
      <c r="D142" s="87"/>
      <c r="E142" s="87"/>
      <c r="F142" s="87"/>
      <c r="G142" s="87"/>
      <c r="H142" s="87"/>
      <c r="I142" s="89"/>
    </row>
    <row r="143" spans="1:9" ht="30" customHeight="1" x14ac:dyDescent="0.25">
      <c r="A143" s="88"/>
      <c r="B143" s="88"/>
      <c r="C143" s="88"/>
      <c r="D143" s="88"/>
      <c r="E143" s="88"/>
      <c r="F143" s="88"/>
      <c r="G143" s="88"/>
      <c r="H143" s="88"/>
      <c r="I143" s="89"/>
    </row>
    <row r="144" spans="1:9" ht="24.95" customHeight="1" x14ac:dyDescent="0.25">
      <c r="A144" s="76"/>
      <c r="B144" s="76"/>
      <c r="C144" s="76"/>
      <c r="D144" s="76"/>
      <c r="E144" s="76"/>
      <c r="F144" s="76"/>
      <c r="G144" s="76"/>
      <c r="H144" s="76"/>
      <c r="I144" s="76"/>
    </row>
    <row r="145" spans="1:9" ht="33.950000000000003" customHeight="1" x14ac:dyDescent="0.25">
      <c r="A145" s="86" t="s">
        <v>1217</v>
      </c>
      <c r="B145" s="86"/>
      <c r="C145" s="86"/>
      <c r="D145" s="86"/>
      <c r="E145" s="86"/>
      <c r="F145" s="86"/>
      <c r="G145" s="86"/>
      <c r="H145" s="86"/>
      <c r="I145" s="86"/>
    </row>
    <row r="146" spans="1:9" ht="30" customHeight="1" x14ac:dyDescent="0.25">
      <c r="A146" s="87" t="s">
        <v>1218</v>
      </c>
      <c r="B146" s="87"/>
      <c r="C146" s="87"/>
      <c r="D146" s="87"/>
      <c r="E146" s="87"/>
      <c r="F146" s="87"/>
      <c r="G146" s="87"/>
      <c r="H146" s="87"/>
      <c r="I146" s="89" t="s">
        <v>1219</v>
      </c>
    </row>
    <row r="147" spans="1:9" ht="30" customHeight="1" x14ac:dyDescent="0.25">
      <c r="A147" s="87"/>
      <c r="B147" s="87"/>
      <c r="C147" s="87"/>
      <c r="D147" s="87"/>
      <c r="E147" s="87"/>
      <c r="F147" s="87"/>
      <c r="G147" s="87"/>
      <c r="H147" s="87"/>
      <c r="I147" s="89"/>
    </row>
    <row r="148" spans="1:9" ht="30" customHeight="1" x14ac:dyDescent="0.25">
      <c r="A148" s="88"/>
      <c r="B148" s="88"/>
      <c r="C148" s="88"/>
      <c r="D148" s="88"/>
      <c r="E148" s="88"/>
      <c r="F148" s="88"/>
      <c r="G148" s="88"/>
      <c r="H148" s="88"/>
      <c r="I148" s="89"/>
    </row>
    <row r="149" spans="1:9" ht="24.95" customHeight="1" x14ac:dyDescent="0.25">
      <c r="A149" s="76"/>
      <c r="B149" s="76"/>
      <c r="C149" s="76"/>
      <c r="D149" s="76"/>
      <c r="E149" s="76"/>
      <c r="F149" s="76"/>
      <c r="G149" s="76"/>
      <c r="H149" s="76"/>
      <c r="I149" s="76"/>
    </row>
    <row r="150" spans="1:9" ht="33.950000000000003" customHeight="1" x14ac:dyDescent="0.25">
      <c r="A150" s="86" t="s">
        <v>1220</v>
      </c>
      <c r="B150" s="86"/>
      <c r="C150" s="86"/>
      <c r="D150" s="86"/>
      <c r="E150" s="86"/>
      <c r="F150" s="86"/>
      <c r="G150" s="86"/>
      <c r="H150" s="86"/>
      <c r="I150" s="86"/>
    </row>
    <row r="151" spans="1:9" ht="30" customHeight="1" x14ac:dyDescent="0.25">
      <c r="A151" s="87" t="s">
        <v>1221</v>
      </c>
      <c r="B151" s="87"/>
      <c r="C151" s="87"/>
      <c r="D151" s="87"/>
      <c r="E151" s="87"/>
      <c r="F151" s="87"/>
      <c r="G151" s="87"/>
      <c r="H151" s="87"/>
      <c r="I151" s="89" t="s">
        <v>1222</v>
      </c>
    </row>
    <row r="152" spans="1:9" ht="30" customHeight="1" x14ac:dyDescent="0.25">
      <c r="A152" s="87"/>
      <c r="B152" s="87"/>
      <c r="C152" s="87"/>
      <c r="D152" s="87"/>
      <c r="E152" s="87"/>
      <c r="F152" s="87"/>
      <c r="G152" s="87"/>
      <c r="H152" s="87"/>
      <c r="I152" s="89"/>
    </row>
    <row r="153" spans="1:9" ht="30" customHeight="1" x14ac:dyDescent="0.25">
      <c r="A153" s="87"/>
      <c r="B153" s="87"/>
      <c r="C153" s="87"/>
      <c r="D153" s="87"/>
      <c r="E153" s="87"/>
      <c r="F153" s="87"/>
      <c r="G153" s="87"/>
      <c r="H153" s="87"/>
      <c r="I153" s="89"/>
    </row>
    <row r="154" spans="1:9" ht="30" customHeight="1" x14ac:dyDescent="0.25">
      <c r="A154" s="88"/>
      <c r="B154" s="88"/>
      <c r="C154" s="88"/>
      <c r="D154" s="88"/>
      <c r="E154" s="88"/>
      <c r="F154" s="88"/>
      <c r="G154" s="88"/>
      <c r="H154" s="88"/>
      <c r="I154" s="89"/>
    </row>
  </sheetData>
  <mergeCells count="25">
    <mergeCell ref="A150:I150"/>
    <mergeCell ref="A151:H154"/>
    <mergeCell ref="I151:I154"/>
    <mergeCell ref="A139:I139"/>
    <mergeCell ref="A140:H143"/>
    <mergeCell ref="I140:I143"/>
    <mergeCell ref="A145:I145"/>
    <mergeCell ref="A146:H148"/>
    <mergeCell ref="I146:I148"/>
    <mergeCell ref="A134:B134"/>
    <mergeCell ref="A96:I96"/>
    <mergeCell ref="A131:I131"/>
    <mergeCell ref="E132:I134"/>
    <mergeCell ref="A137:I137"/>
    <mergeCell ref="A132:B132"/>
    <mergeCell ref="A133:B133"/>
    <mergeCell ref="A30:E30"/>
    <mergeCell ref="A41:E41"/>
    <mergeCell ref="A47:E47"/>
    <mergeCell ref="A1:E1"/>
    <mergeCell ref="A10:E10"/>
    <mergeCell ref="A13:E13"/>
    <mergeCell ref="A18:E18"/>
    <mergeCell ref="A22:E22"/>
    <mergeCell ref="A27:E27"/>
  </mergeCells>
  <hyperlinks>
    <hyperlink ref="I101" r:id="rId1" xr:uid="{005B6573-1B63-4272-AEDD-EACA4DDEA04C}"/>
    <hyperlink ref="I102" r:id="rId2" xr:uid="{42BFC499-A0CA-4031-AA8B-B1BF93D64C04}"/>
    <hyperlink ref="I100" r:id="rId3" xr:uid="{11F5F9CD-29EA-4CF1-A60B-F9969133FF61}"/>
    <hyperlink ref="I99" r:id="rId4" xr:uid="{CAF27F99-5B70-49F0-ACE4-4B0C2109380B}"/>
    <hyperlink ref="I98" r:id="rId5" xr:uid="{899B4DD2-20CA-4B81-B9B9-C16F53D24BE7}"/>
    <hyperlink ref="I111" r:id="rId6" xr:uid="{84762E21-4FF2-407B-88C2-1D8726632436}"/>
    <hyperlink ref="I110" r:id="rId7" xr:uid="{F3389F48-AC13-4050-8A5C-1E632FF8D337}"/>
    <hyperlink ref="I109" r:id="rId8" xr:uid="{1C18909C-2A31-42C0-A2A4-E18CD1181363}"/>
    <hyperlink ref="I112" r:id="rId9" xr:uid="{5DFA4B67-1B0A-4D2B-8F1D-C8EB7F071826}"/>
    <hyperlink ref="I113" r:id="rId10" xr:uid="{CBD17DA8-C1CC-4ED4-B80E-6D20487209A8}"/>
    <hyperlink ref="I114" r:id="rId11" xr:uid="{6E4A6435-57D9-443D-ABBA-4910FC2F9026}"/>
    <hyperlink ref="I115" r:id="rId12" xr:uid="{BAFE2F9F-6F0A-4461-BB8D-4AA332C32BED}"/>
    <hyperlink ref="I116" r:id="rId13" xr:uid="{8391F02E-11DC-4548-982A-A3496D5D27D0}"/>
    <hyperlink ref="I117" r:id="rId14" xr:uid="{F8A9368C-4284-4325-9D50-67052E70542D}"/>
    <hyperlink ref="I118" r:id="rId15" xr:uid="{4CCE9FE2-ADC5-481A-8BF1-B7BBDCF78C09}"/>
    <hyperlink ref="I119" r:id="rId16" xr:uid="{F684E3D4-97D1-486E-B532-2AD05B0EABDF}"/>
    <hyperlink ref="I120" r:id="rId17" xr:uid="{46D26EF8-B54F-4EE3-883D-34E9E3DC9289}"/>
    <hyperlink ref="I121" r:id="rId18" xr:uid="{B103D0CE-9615-4D42-BE21-52CF0E84D724}"/>
    <hyperlink ref="I122" r:id="rId19" xr:uid="{FE116E07-1988-47B5-9EB6-828B5CC163F8}"/>
    <hyperlink ref="I123" r:id="rId20" xr:uid="{F0A221A1-74FF-49B1-8570-33DAA50D19EB}"/>
    <hyperlink ref="I124" r:id="rId21" xr:uid="{981DA03C-B475-490B-A2B8-ADA444776F25}"/>
    <hyperlink ref="I125" r:id="rId22" xr:uid="{4568A60F-816F-4819-A41F-2E2BBFAA6368}"/>
    <hyperlink ref="I126" r:id="rId23" xr:uid="{D7500E27-4E01-4A30-A9F0-18D150B88E08}"/>
    <hyperlink ref="I127" r:id="rId24" xr:uid="{EF67C1A6-475A-4949-A39A-169C21FA38AD}"/>
    <hyperlink ref="I128" r:id="rId25" xr:uid="{CC717FE5-BFB0-4368-A8F4-70658BB024EF}"/>
    <hyperlink ref="I104" r:id="rId26" xr:uid="{1200617B-088B-4F02-A35A-121E7A990EE4}"/>
    <hyperlink ref="I103" r:id="rId27" xr:uid="{F2730911-A5FD-4C77-BD94-068DC1D2F073}"/>
    <hyperlink ref="I105" r:id="rId28" xr:uid="{1B8A7056-1967-4D67-AE39-84DBB29632BE}"/>
    <hyperlink ref="I107" r:id="rId29" xr:uid="{D95E5E60-DD68-4898-A073-23B94DFA1771}"/>
  </hyperlinks>
  <pageMargins left="0.7" right="0.7" top="0.75" bottom="0.75" header="0.3" footer="0.3"/>
  <ignoredErrors>
    <ignoredError sqref="A48:E50 A14:E40 A42:E46 D57:D72 D74:D93"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2</vt:i4>
      </vt:variant>
    </vt:vector>
  </HeadingPairs>
  <TitlesOfParts>
    <vt:vector size="2" baseType="lpstr">
      <vt:lpstr>Sayfa1</vt:lpstr>
      <vt:lpstr>Sayfa2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Fatih Güral</dc:creator>
  <cp:lastModifiedBy>Fatih Güral -DOLFİN</cp:lastModifiedBy>
  <dcterms:created xsi:type="dcterms:W3CDTF">2015-06-05T18:19:34Z</dcterms:created>
  <dcterms:modified xsi:type="dcterms:W3CDTF">2026-08-25T14:24:15Z</dcterms:modified>
</cp:coreProperties>
</file>